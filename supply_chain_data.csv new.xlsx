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YLAPTOP\Desktop\ds\"/>
    </mc:Choice>
  </mc:AlternateContent>
  <xr:revisionPtr revIDLastSave="0" documentId="13_ncr:1_{A65C4732-5F6F-483C-B924-1828AA79C106}" xr6:coauthVersionLast="47" xr6:coauthVersionMax="47" xr10:uidLastSave="{00000000-0000-0000-0000-000000000000}"/>
  <bookViews>
    <workbookView xWindow="-90" yWindow="0" windowWidth="13580" windowHeight="10170" firstSheet="2" activeTab="2" xr2:uid="{A9527215-D8E9-4EDC-9F5D-E309E1992541}"/>
  </bookViews>
  <sheets>
    <sheet name="supply_chain_data" sheetId="1" r:id="rId1"/>
    <sheet name="- Sales &amp; Logistics Overview" sheetId="3" r:id="rId2"/>
    <sheet name="Sales and logistics Dashboards" sheetId="4" r:id="rId3"/>
  </sheets>
  <definedNames>
    <definedName name="_xlnm._FilterDatabase" localSheetId="0" hidden="1">supply_chain_data!$I$1:$I$101</definedName>
    <definedName name="Slicer_Product_type">#N/A</definedName>
    <definedName name="Slicer_Shipping_carriers">#N/A</definedName>
    <definedName name="Slicer_SKU">#N/A</definedName>
    <definedName name="Slicer_Transportation_modes">#N/A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F3" i="1" s="1"/>
  <c r="G4" i="1"/>
  <c r="F4" i="1" s="1"/>
  <c r="G5" i="1"/>
  <c r="F5" i="1" s="1"/>
  <c r="G6" i="1"/>
  <c r="F6" i="1" s="1"/>
  <c r="G7" i="1"/>
  <c r="F7" i="1" s="1"/>
  <c r="G8" i="1"/>
  <c r="F8" i="1" s="1"/>
  <c r="G9" i="1"/>
  <c r="F9" i="1" s="1"/>
  <c r="G10" i="1"/>
  <c r="F10" i="1" s="1"/>
  <c r="G11" i="1"/>
  <c r="F11" i="1" s="1"/>
  <c r="G12" i="1"/>
  <c r="F12" i="1" s="1"/>
  <c r="G13" i="1"/>
  <c r="F13" i="1" s="1"/>
  <c r="G14" i="1"/>
  <c r="F14" i="1" s="1"/>
  <c r="G15" i="1"/>
  <c r="F15" i="1" s="1"/>
  <c r="G16" i="1"/>
  <c r="F16" i="1" s="1"/>
  <c r="G17" i="1"/>
  <c r="F17" i="1" s="1"/>
  <c r="G18" i="1"/>
  <c r="F18" i="1" s="1"/>
  <c r="G19" i="1"/>
  <c r="F19" i="1" s="1"/>
  <c r="G20" i="1"/>
  <c r="F20" i="1" s="1"/>
  <c r="G21" i="1"/>
  <c r="F21" i="1" s="1"/>
  <c r="G22" i="1"/>
  <c r="F22" i="1" s="1"/>
  <c r="G23" i="1"/>
  <c r="F23" i="1" s="1"/>
  <c r="G24" i="1"/>
  <c r="F24" i="1" s="1"/>
  <c r="G25" i="1"/>
  <c r="F25" i="1" s="1"/>
  <c r="G26" i="1"/>
  <c r="F26" i="1" s="1"/>
  <c r="G27" i="1"/>
  <c r="F27" i="1" s="1"/>
  <c r="G28" i="1"/>
  <c r="F28" i="1" s="1"/>
  <c r="G29" i="1"/>
  <c r="F29" i="1" s="1"/>
  <c r="G30" i="1"/>
  <c r="F30" i="1" s="1"/>
  <c r="G31" i="1"/>
  <c r="F31" i="1" s="1"/>
  <c r="G32" i="1"/>
  <c r="F32" i="1" s="1"/>
  <c r="G33" i="1"/>
  <c r="F33" i="1" s="1"/>
  <c r="G34" i="1"/>
  <c r="F34" i="1" s="1"/>
  <c r="G35" i="1"/>
  <c r="F35" i="1" s="1"/>
  <c r="G36" i="1"/>
  <c r="F36" i="1" s="1"/>
  <c r="G37" i="1"/>
  <c r="F37" i="1" s="1"/>
  <c r="G38" i="1"/>
  <c r="F38" i="1" s="1"/>
  <c r="G39" i="1"/>
  <c r="F39" i="1" s="1"/>
  <c r="G40" i="1"/>
  <c r="F40" i="1" s="1"/>
  <c r="G41" i="1"/>
  <c r="F41" i="1" s="1"/>
  <c r="G42" i="1"/>
  <c r="F42" i="1" s="1"/>
  <c r="G43" i="1"/>
  <c r="F43" i="1" s="1"/>
  <c r="G44" i="1"/>
  <c r="F44" i="1" s="1"/>
  <c r="G45" i="1"/>
  <c r="F45" i="1" s="1"/>
  <c r="G46" i="1"/>
  <c r="F46" i="1" s="1"/>
  <c r="G47" i="1"/>
  <c r="F47" i="1" s="1"/>
  <c r="G48" i="1"/>
  <c r="F48" i="1" s="1"/>
  <c r="G49" i="1"/>
  <c r="F49" i="1" s="1"/>
  <c r="G50" i="1"/>
  <c r="F50" i="1" s="1"/>
  <c r="G51" i="1"/>
  <c r="F51" i="1" s="1"/>
  <c r="G52" i="1"/>
  <c r="F52" i="1" s="1"/>
  <c r="G53" i="1"/>
  <c r="F53" i="1" s="1"/>
  <c r="G54" i="1"/>
  <c r="F54" i="1" s="1"/>
  <c r="G55" i="1"/>
  <c r="F55" i="1" s="1"/>
  <c r="G56" i="1"/>
  <c r="F56" i="1" s="1"/>
  <c r="G57" i="1"/>
  <c r="F57" i="1" s="1"/>
  <c r="G58" i="1"/>
  <c r="F58" i="1" s="1"/>
  <c r="G59" i="1"/>
  <c r="F59" i="1" s="1"/>
  <c r="G60" i="1"/>
  <c r="F60" i="1" s="1"/>
  <c r="G61" i="1"/>
  <c r="F61" i="1" s="1"/>
  <c r="G62" i="1"/>
  <c r="F62" i="1" s="1"/>
  <c r="G63" i="1"/>
  <c r="F63" i="1" s="1"/>
  <c r="G64" i="1"/>
  <c r="F64" i="1" s="1"/>
  <c r="G65" i="1"/>
  <c r="F65" i="1" s="1"/>
  <c r="G66" i="1"/>
  <c r="F66" i="1" s="1"/>
  <c r="G67" i="1"/>
  <c r="F67" i="1" s="1"/>
  <c r="G68" i="1"/>
  <c r="F68" i="1" s="1"/>
  <c r="G69" i="1"/>
  <c r="F69" i="1" s="1"/>
  <c r="G70" i="1"/>
  <c r="F70" i="1" s="1"/>
  <c r="G71" i="1"/>
  <c r="F71" i="1" s="1"/>
  <c r="G72" i="1"/>
  <c r="F72" i="1" s="1"/>
  <c r="G73" i="1"/>
  <c r="F73" i="1" s="1"/>
  <c r="G74" i="1"/>
  <c r="F74" i="1" s="1"/>
  <c r="G75" i="1"/>
  <c r="F75" i="1" s="1"/>
  <c r="G76" i="1"/>
  <c r="F76" i="1" s="1"/>
  <c r="G77" i="1"/>
  <c r="F77" i="1" s="1"/>
  <c r="G78" i="1"/>
  <c r="F78" i="1" s="1"/>
  <c r="G79" i="1"/>
  <c r="F79" i="1" s="1"/>
  <c r="G80" i="1"/>
  <c r="F80" i="1" s="1"/>
  <c r="G81" i="1"/>
  <c r="F81" i="1" s="1"/>
  <c r="G82" i="1"/>
  <c r="F82" i="1" s="1"/>
  <c r="G83" i="1"/>
  <c r="F83" i="1" s="1"/>
  <c r="G84" i="1"/>
  <c r="F84" i="1" s="1"/>
  <c r="G85" i="1"/>
  <c r="F85" i="1" s="1"/>
  <c r="G86" i="1"/>
  <c r="F86" i="1" s="1"/>
  <c r="G87" i="1"/>
  <c r="F87" i="1" s="1"/>
  <c r="G88" i="1"/>
  <c r="F88" i="1" s="1"/>
  <c r="G89" i="1"/>
  <c r="F89" i="1" s="1"/>
  <c r="G90" i="1"/>
  <c r="F90" i="1" s="1"/>
  <c r="G91" i="1"/>
  <c r="F91" i="1" s="1"/>
  <c r="G92" i="1"/>
  <c r="F92" i="1" s="1"/>
  <c r="G93" i="1"/>
  <c r="F93" i="1" s="1"/>
  <c r="G94" i="1"/>
  <c r="F94" i="1" s="1"/>
  <c r="G95" i="1"/>
  <c r="F95" i="1" s="1"/>
  <c r="G96" i="1"/>
  <c r="F96" i="1" s="1"/>
  <c r="G97" i="1"/>
  <c r="F97" i="1" s="1"/>
  <c r="G98" i="1"/>
  <c r="F98" i="1" s="1"/>
  <c r="G99" i="1"/>
  <c r="F99" i="1" s="1"/>
  <c r="G100" i="1"/>
  <c r="F100" i="1" s="1"/>
  <c r="G101" i="1"/>
  <c r="F101" i="1" s="1"/>
  <c r="G2" i="1"/>
  <c r="F2" i="1"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alcChain>
</file>

<file path=xl/sharedStrings.xml><?xml version="1.0" encoding="utf-8"?>
<sst xmlns="http://schemas.openxmlformats.org/spreadsheetml/2006/main" count="979" uniqueCount="176">
  <si>
    <t>Product type</t>
  </si>
  <si>
    <t>SKU</t>
  </si>
  <si>
    <t>Price</t>
  </si>
  <si>
    <t>Availability</t>
  </si>
  <si>
    <t>Number of products sold</t>
  </si>
  <si>
    <t>Revenue generated</t>
  </si>
  <si>
    <t>Customer demographics</t>
  </si>
  <si>
    <t>Stock levels</t>
  </si>
  <si>
    <t>Order quantities</t>
  </si>
  <si>
    <t>Shipping times</t>
  </si>
  <si>
    <t>Shipping carriers</t>
  </si>
  <si>
    <t>Shipping costs</t>
  </si>
  <si>
    <t>Supplier name</t>
  </si>
  <si>
    <t>Location</t>
  </si>
  <si>
    <t>Production volumes</t>
  </si>
  <si>
    <t>Manufacturing lead time</t>
  </si>
  <si>
    <t>Manufacturing costs</t>
  </si>
  <si>
    <t>Inspection results</t>
  </si>
  <si>
    <t>Defect rates</t>
  </si>
  <si>
    <t>Transportation modes</t>
  </si>
  <si>
    <t>Routes</t>
  </si>
  <si>
    <t>haircare</t>
  </si>
  <si>
    <t>SKU0</t>
  </si>
  <si>
    <t>skincare</t>
  </si>
  <si>
    <t>SKU1</t>
  </si>
  <si>
    <t>SKU2</t>
  </si>
  <si>
    <t>SKU3</t>
  </si>
  <si>
    <t>SKU4</t>
  </si>
  <si>
    <t>SKU5</t>
  </si>
  <si>
    <t>SKU6</t>
  </si>
  <si>
    <t>cosmetics</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</si>
  <si>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</si>
  <si>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</si>
  <si>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</si>
  <si>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</si>
  <si>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</si>
  <si>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</si>
  <si>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</si>
  <si>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</si>
  <si>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</si>
  <si>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</si>
  <si>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</si>
  <si>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</si>
  <si>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</si>
  <si>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</si>
  <si>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</si>
  <si>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</si>
  <si>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</si>
  <si>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</si>
  <si>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</si>
  <si>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</si>
  <si>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</si>
  <si>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</si>
  <si>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</si>
  <si>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</si>
  <si>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</si>
  <si>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</si>
  <si>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</si>
  <si>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</si>
  <si>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</si>
  <si>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</si>
  <si>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</si>
  <si>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</si>
  <si>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</si>
  <si>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</si>
  <si>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</si>
  <si>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</si>
  <si>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</si>
  <si>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</si>
  <si>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</si>
  <si>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</si>
  <si>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</si>
  <si>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</si>
  <si>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</si>
  <si>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</si>
  <si>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</si>
  <si>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</si>
  <si>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</si>
  <si>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</si>
  <si>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</si>
  <si>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</si>
  <si>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</si>
  <si>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</si>
  <si>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</si>
  <si>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</si>
  <si>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</si>
  <si>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</si>
  <si>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</si>
  <si>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</si>
  <si>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</si>
  <si>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</si>
  <si>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</si>
  <si>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</si>
  <si>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</si>
  <si>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</si>
  <si>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</si>
  <si>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</si>
  <si>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</si>
  <si>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</si>
  <si>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</si>
  <si>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</si>
  <si>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</si>
  <si>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</si>
  <si>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</si>
  <si>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</si>
  <si>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</si>
  <si>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</si>
  <si>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</si>
  <si>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</si>
  <si>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</si>
  <si>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</si>
  <si>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</si>
  <si>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</si>
  <si>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</si>
  <si>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</si>
  <si>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</si>
  <si>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</si>
  <si>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</si>
  <si>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</si>
  <si>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</si>
  <si>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</si>
  <si>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</si>
  <si>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</si>
  <si>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</si>
  <si>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Supplier Lead times</t>
  </si>
  <si>
    <t>Order Lead time</t>
  </si>
  <si>
    <t>Total logistics Costs</t>
  </si>
  <si>
    <t>non-binary</t>
  </si>
  <si>
    <t>unknown</t>
  </si>
  <si>
    <t>female</t>
  </si>
  <si>
    <t>male</t>
  </si>
  <si>
    <t>pass</t>
  </si>
  <si>
    <t>fail</t>
  </si>
  <si>
    <t>pending</t>
  </si>
  <si>
    <t>carrier_a</t>
  </si>
  <si>
    <t>carrier_b</t>
  </si>
  <si>
    <t>carrier_c</t>
  </si>
  <si>
    <t>road</t>
  </si>
  <si>
    <t>air</t>
  </si>
  <si>
    <t>rail</t>
  </si>
  <si>
    <t>sea</t>
  </si>
  <si>
    <t>route_a</t>
  </si>
  <si>
    <t>route_b</t>
  </si>
  <si>
    <t>route_c</t>
  </si>
  <si>
    <t>supplier_1</t>
  </si>
  <si>
    <t>supplier_2</t>
  </si>
  <si>
    <t>supplier_3</t>
  </si>
  <si>
    <t>supplier_4</t>
  </si>
  <si>
    <t>supplier_5</t>
  </si>
  <si>
    <t>mumbai</t>
  </si>
  <si>
    <t>delhi</t>
  </si>
  <si>
    <t>kolkata</t>
  </si>
  <si>
    <t>channai</t>
  </si>
  <si>
    <t>bangalore</t>
  </si>
  <si>
    <t>Defect rate %</t>
  </si>
  <si>
    <t>Calculated Revenue</t>
  </si>
  <si>
    <t>Revenue discrepancy</t>
  </si>
  <si>
    <t>Row Labels</t>
  </si>
  <si>
    <t>Grand Total</t>
  </si>
  <si>
    <t>Sum of Revenue generated</t>
  </si>
  <si>
    <t>Product type: average price and total revenue</t>
  </si>
  <si>
    <t>Average of Price</t>
  </si>
  <si>
    <t>Sum of Number of products sold</t>
  </si>
  <si>
    <t>Sales share by product type (% of total units sold)</t>
  </si>
  <si>
    <t>Total revenue by shipping carrier</t>
  </si>
  <si>
    <t>Revenue by SKU</t>
  </si>
  <si>
    <t>Average of Stock levels</t>
  </si>
  <si>
    <t>Stock levels by SKU (average)</t>
  </si>
  <si>
    <t>Average of Shipping costs</t>
  </si>
  <si>
    <t>Average shipping cost by carrier</t>
  </si>
  <si>
    <t>Average of Total logistics Costs</t>
  </si>
  <si>
    <t>Average total logistics cost by transport mode</t>
  </si>
  <si>
    <t>Column Labels</t>
  </si>
  <si>
    <t>Average of Defect rates</t>
  </si>
  <si>
    <t>Average defect rate by product type and transport mode</t>
  </si>
  <si>
    <t>Sales  &amp; Logistcs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</si>
</sst>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2"/>
      <color theme="1"/>
      <name val="Calibri"/>
      <family val="2"/>
      <scheme val="minor"/>
    </font>
    <font>
      <sz val="11"/>
      <color rgb="FF334155"/>
      <name val="Calibri"/>
      <family val="2"/>
      <scheme val="minor"/>
    </font>
    <font>
      <b/>
      <i/>
      <sz val="14"/>
      <color theme="0"/>
      <name val="Calibri"/>
      <family val="2"/>
      <scheme val="minor"/>
    </font>
    <font>
      <b/>
      <sz val="36"/>
      <color theme="0"/>
      <name val="Bodoni MT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415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2" fontId="0" fillId="0" borderId="0" xfId="0" applyNumberFormat="1"/>
    <xf numFmtId="9" fontId="0" fillId="0" borderId="0" xfId="1" applyFont="1"/>
    <xf numFmtId="10" fontId="0" fillId="0" borderId="0" xfId="0" applyNumberFormat="1"/>
    <xf numFmtId="0" fontId="0" fillId="0" borderId="0" xfId="0" pivotButton="1"/>
    <xf numFmtId="0" fontId="0" fillId="0" borderId="0" xfId="0" applyAlignment="1">
      <alignment horizontal="left"/>
    </xf>
    <xf numFmtId="0" fontId="18" fillId="0" borderId="0" xfId="0" applyFont="1"/>
    <xf numFmtId="164" fontId="0" fillId="0" borderId="0" xfId="0" applyNumberFormat="1"/>
    <xf numFmtId="9" fontId="0" fillId="0" borderId="0" xfId="0" applyNumberFormat="1"/>
    <xf numFmtId="1" fontId="0" fillId="0" borderId="0" xfId="0" applyNumberFormat="1"/>
    <xf numFmtId="0" fontId="19" fillId="33" borderId="0" xfId="0" applyFont="1" applyFill="1"/>
    <xf numFmtId="0" fontId="20" fillId="33" borderId="0" xfId="0" applyFont="1" applyFill="1"/>
    <xf numFmtId="0" fontId="17" fillId="33" borderId="0" xfId="0" applyFont="1" applyFill="1"/>
    <xf numFmtId="0" fontId="21" fillId="33" borderId="0" xfId="0"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10">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2" formatCode="0.0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4" formatCode="_-[$$-409]* #,##0.00_ ;_-[$$-409]* \-#,##0.00\ ;_-[$$-409]* &quot;-&quot;??_ ;_-@_ "/>
    </dxf>
    <dxf>
      <numFmt numFmtId="164" formatCode="_-[$$-409]* #,##0.00_ ;_-[$$-409]* \-#,##0.00\ ;_-[$$-409]* &quot;-&quot;??_ ;_-@_ "/>
    </dxf>
    <dxf>
      <numFmt numFmtId="13" formatCode="0%"/>
    </dxf>
    <dxf>
      <numFmt numFmtId="13" formatCode="0%"/>
    </dxf>
    <dxf>
      <numFmt numFmtId="164" formatCode="_-[$$-409]* #,##0.00_ ;_-[$$-409]* \-#,##0.00\ ;_-[$$-409]* &quot;-&quot;??_ ;_-@_ "/>
    </dxf>
    <dxf>
      <numFmt numFmtId="2" formatCode="0.00"/>
    </dxf>
    <dxf>
      <numFmt numFmtId="164" formatCode="_-[$$-409]* #,##0.00_ ;_-[$$-409]* \-#,##0.00\ ;_-[$$-409]* &quot;-&quot;??_ ;_-@_ "/>
    </dxf>
    <dxf>
      <numFmt numFmtId="14" formatCode="0.00%"/>
    </dxf>
    <dxf>
      <numFmt numFmtId="14" formatCode="0.00%"/>
    </dxf>
    <dxf>
      <numFmt numFmtId="14" formatCode="0.00%"/>
    </dxf>
  </dxfs>
  <tableStyles count="0" defaultTableStyle="TableStyleMedium2" defaultPivotStyle="PivotStyleLight16"/>
  <colors>
    <mruColors>
      <color rgb="FF334155"/>
      <color rgb="FFF43F5E"/>
      <color rgb="FFF59E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100"/>
              <a:t>Product type: average price and total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&amp; Logistics Overview'!$B$3</c:f>
              <c:strCache>
                <c:ptCount val="1"/>
                <c:pt idx="0">
                  <c:v>Sum of Revenue generated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Sales &amp; Logistics Overview'!$A$4:$A$6</c:f>
              <c:strCache>
                <c:ptCount val="2"/>
                <c:pt idx="0">
                  <c:v>cosmetics</c:v>
                </c:pt>
                <c:pt idx="1">
                  <c:v>haircare</c:v>
                </c:pt>
              </c:strCache>
            </c:strRef>
          </c:cat>
          <c:val>
            <c:numRef>
              <c:f>'- Sales &amp; Logistics Overview'!$B$4:$B$6</c:f>
              <c:numCache>
                <c:formatCode>_-[$$-409]* #,##0.00_ ;_-[$$-409]* \-#,##0.00\ ;_-[$$-409]* "-"??_ ;_-@_ </c:formatCode>
                <c:ptCount val="2"/>
                <c:pt idx="0">
                  <c:v>8180.3370854254399</c:v>
                </c:pt>
                <c:pt idx="1">
                  <c:v>14237.38203796422</c:v>
                </c:pt>
              </c:numCache>
            </c:numRef>
          </c:val>
          <c:extLst>
            <c:ext xmlns:c16="http://schemas.microsoft.com/office/drawing/2014/chart" uri="{C3380CC4-5D6E-409C-BE32-E72D297353CC}">
              <c16:uniqueId val="{00000000-C416-4F92-8F91-337A2D2E1BD5}"/>
            </c:ext>
          </c:extLst>
        </c:ser>
        <c:ser>
          <c:idx val="1"/>
          <c:order val="1"/>
          <c:tx>
            <c:strRef>
              <c:f>'- Sales &amp; Logistics Overview'!$C$3</c:f>
              <c:strCache>
                <c:ptCount val="1"/>
                <c:pt idx="0">
                  <c:v>Average of Price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Sales &amp; Logistics Overview'!$A$4:$A$6</c:f>
              <c:strCache>
                <c:ptCount val="2"/>
                <c:pt idx="0">
                  <c:v>cosmetics</c:v>
                </c:pt>
                <c:pt idx="1">
                  <c:v>haircare</c:v>
                </c:pt>
              </c:strCache>
            </c:strRef>
          </c:cat>
          <c:val>
            <c:numRef>
              <c:f>'- Sales &amp; Logistics Overview'!$C$4:$C$6</c:f>
              <c:numCache>
                <c:formatCode>0.00</c:formatCode>
                <c:ptCount val="2"/>
                <c:pt idx="0">
                  <c:v>6.3815331627479601</c:v>
                </c:pt>
                <c:pt idx="1">
                  <c:v>15.113436115802555</c:v>
                </c:pt>
              </c:numCache>
            </c:numRef>
          </c:val>
          <c:extLst>
            <c:ext xmlns:c16="http://schemas.microsoft.com/office/drawing/2014/chart" uri="{C3380CC4-5D6E-409C-BE32-E72D297353CC}">
              <c16:uniqueId val="{00000001-C416-4F92-8F91-337A2D2E1BD5}"/>
            </c:ext>
          </c:extLst>
        </c:ser>
        <c:dLbls>
          <c:dLblPos val="inEnd"/>
          <c:showLegendKey val="0"/>
          <c:showVal val="1"/>
          <c:showCatName val="0"/>
          <c:showSerName val="0"/>
          <c:showPercent val="0"/>
          <c:showBubbleSize val="0"/>
        </c:dLbls>
        <c:gapWidth val="65"/>
        <c:axId val="1881526015"/>
        <c:axId val="1881549535"/>
      </c:barChart>
      <c:catAx>
        <c:axId val="1881526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1549535"/>
        <c:crosses val="autoZero"/>
        <c:auto val="1"/>
        <c:lblAlgn val="ctr"/>
        <c:lblOffset val="100"/>
        <c:noMultiLvlLbl val="0"/>
      </c:catAx>
      <c:valAx>
        <c:axId val="1881549535"/>
        <c:scaling>
          <c:orientation val="minMax"/>
        </c:scaling>
        <c:delete val="1"/>
        <c:axPos val="l"/>
        <c:numFmt formatCode="_-[$$-409]* #,##0.00_ ;_-[$$-409]* \-#,##0.00\ ;_-[$$-409]* &quot;-&quot;??_ ;_-@_ " sourceLinked="1"/>
        <c:majorTickMark val="none"/>
        <c:minorTickMark val="none"/>
        <c:tickLblPos val="nextTo"/>
        <c:crossAx val="188152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Sales share by product type (% of total units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Sales &amp; Logistics Overview'!$F$3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 Sales &amp; Logistics Overview'!$E$4:$E$6</c:f>
              <c:strCache>
                <c:ptCount val="2"/>
                <c:pt idx="0">
                  <c:v>cosmetics</c:v>
                </c:pt>
                <c:pt idx="1">
                  <c:v>haircare</c:v>
                </c:pt>
              </c:strCache>
            </c:strRef>
          </c:cat>
          <c:val>
            <c:numRef>
              <c:f>'- Sales &amp; Logistics Overview'!$F$4:$F$6</c:f>
              <c:numCache>
                <c:formatCode>0%</c:formatCode>
                <c:ptCount val="2"/>
                <c:pt idx="0">
                  <c:v>0.74677608440797183</c:v>
                </c:pt>
                <c:pt idx="1">
                  <c:v>0.25322391559202811</c:v>
                </c:pt>
              </c:numCache>
            </c:numRef>
          </c:val>
          <c:extLst>
            <c:ext xmlns:c16="http://schemas.microsoft.com/office/drawing/2014/chart" uri="{C3380CC4-5D6E-409C-BE32-E72D297353CC}">
              <c16:uniqueId val="{00000000-78F1-4A0A-B7F4-436EAB3E7E73}"/>
            </c:ext>
          </c:extLst>
        </c:ser>
        <c:dLbls>
          <c:showLegendKey val="0"/>
          <c:showVal val="0"/>
          <c:showCatName val="0"/>
          <c:showSerName val="0"/>
          <c:showPercent val="0"/>
          <c:showBubbleSize val="0"/>
        </c:dLbls>
        <c:gapWidth val="65"/>
        <c:shape val="box"/>
        <c:axId val="2036559519"/>
        <c:axId val="2036547519"/>
        <c:axId val="0"/>
      </c:bar3DChart>
      <c:catAx>
        <c:axId val="20365595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6547519"/>
        <c:crosses val="autoZero"/>
        <c:auto val="1"/>
        <c:lblAlgn val="ctr"/>
        <c:lblOffset val="100"/>
        <c:noMultiLvlLbl val="0"/>
      </c:catAx>
      <c:valAx>
        <c:axId val="20365475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655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Stock levels by SKU (average)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 Sales &amp; Logistics Overview'!$L$3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 Sales &amp; Logistics Overview'!$K$4:$K$7</c:f>
              <c:strCache>
                <c:ptCount val="3"/>
                <c:pt idx="0">
                  <c:v>SKU51</c:v>
                </c:pt>
                <c:pt idx="1">
                  <c:v>SKU71</c:v>
                </c:pt>
                <c:pt idx="2">
                  <c:v>SKU97</c:v>
                </c:pt>
              </c:strCache>
            </c:strRef>
          </c:cat>
          <c:val>
            <c:numRef>
              <c:f>'- Sales &amp; Logistics Overview'!$L$4:$L$7</c:f>
              <c:numCache>
                <c:formatCode>0</c:formatCode>
                <c:ptCount val="3"/>
                <c:pt idx="0">
                  <c:v>100</c:v>
                </c:pt>
                <c:pt idx="1">
                  <c:v>76</c:v>
                </c:pt>
                <c:pt idx="2">
                  <c:v>46</c:v>
                </c:pt>
              </c:numCache>
            </c:numRef>
          </c:val>
          <c:extLst>
            <c:ext xmlns:c16="http://schemas.microsoft.com/office/drawing/2014/chart" uri="{C3380CC4-5D6E-409C-BE32-E72D297353CC}">
              <c16:uniqueId val="{00000000-B5E8-4C6F-8BC9-B91BE2C2F5C5}"/>
            </c:ext>
          </c:extLst>
        </c:ser>
        <c:dLbls>
          <c:showLegendKey val="0"/>
          <c:showVal val="0"/>
          <c:showCatName val="0"/>
          <c:showSerName val="0"/>
          <c:showPercent val="0"/>
          <c:showBubbleSize val="0"/>
        </c:dLbls>
        <c:gapWidth val="65"/>
        <c:shape val="box"/>
        <c:axId val="2036563839"/>
        <c:axId val="2036539359"/>
        <c:axId val="0"/>
      </c:bar3DChart>
      <c:catAx>
        <c:axId val="20365638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6539359"/>
        <c:crosses val="autoZero"/>
        <c:auto val="1"/>
        <c:lblAlgn val="ctr"/>
        <c:lblOffset val="100"/>
        <c:noMultiLvlLbl val="0"/>
      </c:catAx>
      <c:valAx>
        <c:axId val="2036539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65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Overview!PivotTable5</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Total revenue by shipping carrier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 Sales &amp; Logistics Overview'!$B$10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 Sales &amp; Logistics Overview'!$A$11:$A$12</c:f>
              <c:strCache>
                <c:ptCount val="1"/>
                <c:pt idx="0">
                  <c:v>carrier_a</c:v>
                </c:pt>
              </c:strCache>
            </c:strRef>
          </c:cat>
          <c:val>
            <c:numRef>
              <c:f>'- Sales &amp; Logistics Overview'!$B$11:$B$12</c:f>
              <c:numCache>
                <c:formatCode>_-[$$-409]* #,##0.00_ ;_-[$$-409]* \-#,##0.00\ ;_-[$$-409]* "-"??_ ;_-@_ </c:formatCode>
                <c:ptCount val="1"/>
                <c:pt idx="0">
                  <c:v>22417.719123389659</c:v>
                </c:pt>
              </c:numCache>
            </c:numRef>
          </c:val>
          <c:extLst>
            <c:ext xmlns:c16="http://schemas.microsoft.com/office/drawing/2014/chart" uri="{C3380CC4-5D6E-409C-BE32-E72D297353CC}">
              <c16:uniqueId val="{00000000-06D3-4C4A-ABA6-FA2EC2883E5F}"/>
            </c:ext>
          </c:extLst>
        </c:ser>
        <c:dLbls>
          <c:showLegendKey val="0"/>
          <c:showVal val="0"/>
          <c:showCatName val="0"/>
          <c:showSerName val="0"/>
          <c:showPercent val="0"/>
          <c:showBubbleSize val="0"/>
        </c:dLbls>
        <c:gapWidth val="150"/>
        <c:shape val="box"/>
        <c:axId val="2036560959"/>
        <c:axId val="2036561919"/>
        <c:axId val="0"/>
      </c:bar3DChart>
      <c:catAx>
        <c:axId val="2036560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6561919"/>
        <c:crosses val="autoZero"/>
        <c:auto val="1"/>
        <c:lblAlgn val="ctr"/>
        <c:lblOffset val="100"/>
        <c:noMultiLvlLbl val="0"/>
      </c:catAx>
      <c:valAx>
        <c:axId val="2036561919"/>
        <c:scaling>
          <c:orientation val="minMax"/>
        </c:scaling>
        <c:delete val="0"/>
        <c:axPos val="l"/>
        <c:majorGridlines>
          <c:spPr>
            <a:ln w="9525" cap="flat" cmpd="sng" algn="ctr">
              <a:solidFill>
                <a:schemeClr val="dk1">
                  <a:lumMod val="50000"/>
                  <a:lumOff val="5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3656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SKU</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Sales &amp; Logistics Overview'!$E$10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 Sales &amp; Logistics Overview'!$D$11:$D$14</c:f>
              <c:strCache>
                <c:ptCount val="3"/>
                <c:pt idx="0">
                  <c:v>SKU51</c:v>
                </c:pt>
                <c:pt idx="1">
                  <c:v>SKU71</c:v>
                </c:pt>
                <c:pt idx="2">
                  <c:v>SKU97</c:v>
                </c:pt>
              </c:strCache>
            </c:strRef>
          </c:cat>
          <c:val>
            <c:numRef>
              <c:f>'- Sales &amp; Logistics Overview'!$E$11:$E$14</c:f>
              <c:numCache>
                <c:formatCode>_-[$$-409]* #,##0.00_ ;_-[$$-409]* \-#,##0.00\ ;_-[$$-409]* "-"??_ ;_-@_ </c:formatCode>
                <c:ptCount val="3"/>
                <c:pt idx="0">
                  <c:v>9866.4654579796897</c:v>
                </c:pt>
                <c:pt idx="1">
                  <c:v>8180.3370854254399</c:v>
                </c:pt>
                <c:pt idx="2">
                  <c:v>4370.9165799845296</c:v>
                </c:pt>
              </c:numCache>
            </c:numRef>
          </c:val>
          <c:extLst>
            <c:ext xmlns:c16="http://schemas.microsoft.com/office/drawing/2014/chart" uri="{C3380CC4-5D6E-409C-BE32-E72D297353CC}">
              <c16:uniqueId val="{00000000-F494-412D-A9E7-05685E33976A}"/>
            </c:ext>
          </c:extLst>
        </c:ser>
        <c:dLbls>
          <c:showLegendKey val="0"/>
          <c:showVal val="0"/>
          <c:showCatName val="0"/>
          <c:showSerName val="0"/>
          <c:showPercent val="0"/>
          <c:showBubbleSize val="0"/>
        </c:dLbls>
        <c:gapWidth val="150"/>
        <c:overlap val="100"/>
        <c:axId val="2119646015"/>
        <c:axId val="2119638335"/>
      </c:barChart>
      <c:catAx>
        <c:axId val="21196460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9638335"/>
        <c:crosses val="autoZero"/>
        <c:auto val="1"/>
        <c:lblAlgn val="ctr"/>
        <c:lblOffset val="100"/>
        <c:noMultiLvlLbl val="0"/>
      </c:catAx>
      <c:valAx>
        <c:axId val="2119638335"/>
        <c:scaling>
          <c:orientation val="minMax"/>
        </c:scaling>
        <c:delete val="1"/>
        <c:axPos val="l"/>
        <c:numFmt formatCode="_-[$$-409]* #,##0.00_ ;_-[$$-409]* \-#,##0.00\ ;_-[$$-409]* &quot;-&quot;??_ ;_-@_ " sourceLinked="1"/>
        <c:majorTickMark val="none"/>
        <c:minorTickMark val="none"/>
        <c:tickLblPos val="nextTo"/>
        <c:crossAx val="211964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shipping cost by carrier</a:t>
            </a:r>
          </a:p>
        </c:rich>
      </c:tx>
      <c:layout>
        <c:manualLayout>
          <c:xMode val="edge"/>
          <c:yMode val="edge"/>
          <c:x val="0.21288888888888891"/>
          <c:y val="0.1288975870481940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 Sales &amp; Logistics Overview'!$B$17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 Sales &amp; Logistics Overview'!$A$18:$A$19</c:f>
              <c:strCache>
                <c:ptCount val="1"/>
                <c:pt idx="0">
                  <c:v>carrier_a</c:v>
                </c:pt>
              </c:strCache>
            </c:strRef>
          </c:cat>
          <c:val>
            <c:numRef>
              <c:f>'- Sales &amp; Logistics Overview'!$B$18:$B$19</c:f>
              <c:numCache>
                <c:formatCode>_-[$$-409]* #,##0.00_ ;_-[$$-409]* \-#,##0.00\ ;_-[$$-409]* "-"??_ ;_-@_ </c:formatCode>
                <c:ptCount val="1"/>
                <c:pt idx="0">
                  <c:v>7.3053454954032802</c:v>
                </c:pt>
              </c:numCache>
            </c:numRef>
          </c:val>
          <c:extLst>
            <c:ext xmlns:c16="http://schemas.microsoft.com/office/drawing/2014/chart" uri="{C3380CC4-5D6E-409C-BE32-E72D297353CC}">
              <c16:uniqueId val="{00000000-19D8-4AD3-86F7-68A8EB6DA80E}"/>
            </c:ext>
          </c:extLst>
        </c:ser>
        <c:dLbls>
          <c:showLegendKey val="0"/>
          <c:showVal val="0"/>
          <c:showCatName val="0"/>
          <c:showSerName val="0"/>
          <c:showPercent val="0"/>
          <c:showBubbleSize val="0"/>
        </c:dLbls>
        <c:gapWidth val="150"/>
        <c:shape val="box"/>
        <c:axId val="2036521119"/>
        <c:axId val="2036526879"/>
        <c:axId val="0"/>
      </c:bar3DChart>
      <c:catAx>
        <c:axId val="203652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526879"/>
        <c:crosses val="autoZero"/>
        <c:auto val="1"/>
        <c:lblAlgn val="ctr"/>
        <c:lblOffset val="100"/>
        <c:noMultiLvlLbl val="0"/>
      </c:catAx>
      <c:valAx>
        <c:axId val="2036526879"/>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52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Overview!PivotTable9</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b="1">
                <a:solidFill>
                  <a:sysClr val="windowText" lastClr="000000"/>
                </a:solidFill>
              </a:rPr>
              <a:t>Average total logistics cost by transport mode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&amp; Logistics Overview'!$L$19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Sales &amp; Logistics Overview'!$K$20:$K$21</c:f>
              <c:strCache>
                <c:ptCount val="1"/>
                <c:pt idx="0">
                  <c:v>road</c:v>
                </c:pt>
              </c:strCache>
            </c:strRef>
          </c:cat>
          <c:val>
            <c:numRef>
              <c:f>'- Sales &amp; Logistics Overview'!$L$20:$L$21</c:f>
              <c:numCache>
                <c:formatCode>_-[$$-409]* #,##0.00_ ;_-[$$-409]* \-#,##0.00\ ;_-[$$-409]* "-"??_ ;_-@_ </c:formatCode>
                <c:ptCount val="1"/>
                <c:pt idx="0">
                  <c:v>546.7606027787557</c:v>
                </c:pt>
              </c:numCache>
            </c:numRef>
          </c:val>
          <c:extLst>
            <c:ext xmlns:c16="http://schemas.microsoft.com/office/drawing/2014/chart" uri="{C3380CC4-5D6E-409C-BE32-E72D297353CC}">
              <c16:uniqueId val="{00000000-08DD-48F5-98DE-7AE2DB2A8990}"/>
            </c:ext>
          </c:extLst>
        </c:ser>
        <c:dLbls>
          <c:dLblPos val="inEnd"/>
          <c:showLegendKey val="0"/>
          <c:showVal val="1"/>
          <c:showCatName val="0"/>
          <c:showSerName val="0"/>
          <c:showPercent val="0"/>
          <c:showBubbleSize val="0"/>
        </c:dLbls>
        <c:gapWidth val="41"/>
        <c:axId val="9203247"/>
        <c:axId val="9199407"/>
      </c:barChart>
      <c:catAx>
        <c:axId val="920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199407"/>
        <c:crosses val="autoZero"/>
        <c:auto val="1"/>
        <c:lblAlgn val="ctr"/>
        <c:lblOffset val="100"/>
        <c:noMultiLvlLbl val="0"/>
      </c:catAx>
      <c:valAx>
        <c:axId val="9199407"/>
        <c:scaling>
          <c:orientation val="minMax"/>
        </c:scaling>
        <c:delete val="1"/>
        <c:axPos val="l"/>
        <c:numFmt formatCode="_-[$$-409]* #,##0.00_ ;_-[$$-409]* \-#,##0.00\ ;_-[$$-409]* &quot;-&quot;??_ ;_-@_ " sourceLinked="1"/>
        <c:majorTickMark val="none"/>
        <c:minorTickMark val="none"/>
        <c:tickLblPos val="nextTo"/>
        <c:crossAx val="920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[supply_chain_data.csv new.xlsx]- Sales &amp; Logistics Overview!PivotTable10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defect rate by product type and transport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&amp; Logistics Overview'!$E$25:$E$26</c:f>
              <c:strCache>
                <c:ptCount val="1"/>
                <c:pt idx="0">
                  <c:v>road</c:v>
                </c:pt>
              </c:strCache>
            </c:strRef>
          </c:tx>
          <c:spPr>
            <a:solidFill>
              <a:schemeClr val="accent1">
                <a:alpha val="85000"/>
              </a:schemeClr>
            </a:solidFill>
            <a:ln w="9525" cap="flat" cmpd="sng" algn="ctr">
              <a:solidFill>
                <a:schemeClr val="lt1">
                  <a:alpha val="50000"/>
                </a:schemeClr>
              </a:solidFill>
              <a:round/>
            </a:ln>
            <a:effectLst/>
          </c:spPr>
          <c:invertIfNegative val="0"/>
          <c:cat>
            <c:strRef>
              <c:f>'- Sales &amp; Logistics Overview'!$D$27:$D$29</c:f>
              <c:strCache>
                <c:ptCount val="2"/>
                <c:pt idx="0">
                  <c:v>cosmetics</c:v>
                </c:pt>
                <c:pt idx="1">
                  <c:v>haircare</c:v>
                </c:pt>
              </c:strCache>
            </c:strRef>
          </c:cat>
          <c:val>
            <c:numRef>
              <c:f>'- Sales &amp; Logistics Overview'!$E$27:$E$29</c:f>
              <c:numCache>
                <c:formatCode>0.00%</c:formatCode>
                <c:ptCount val="2"/>
                <c:pt idx="0">
                  <c:v>2.07875060787496</c:v>
                </c:pt>
                <c:pt idx="1">
                  <c:v>2.5745945034007649</c:v>
                </c:pt>
              </c:numCache>
            </c:numRef>
          </c:val>
          <c:extLst>
            <c:ext xmlns:c16="http://schemas.microsoft.com/office/drawing/2014/chart" uri="{C3380CC4-5D6E-409C-BE32-E72D297353CC}">
              <c16:uniqueId val="{00000000-5F17-4169-AE7B-A4997F626E65}"/>
            </c:ext>
          </c:extLst>
        </c:ser>
        <c:dLbls>
          <c:showLegendKey val="0"/>
          <c:showVal val="0"/>
          <c:showCatName val="0"/>
          <c:showSerName val="0"/>
          <c:showPercent val="0"/>
          <c:showBubbleSize val="0"/>
        </c:dLbls>
        <c:gapWidth val="65"/>
        <c:axId val="9196047"/>
        <c:axId val="9206607"/>
      </c:barChart>
      <c:catAx>
        <c:axId val="9196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06607"/>
        <c:crosses val="autoZero"/>
        <c:auto val="1"/>
        <c:lblAlgn val="ctr"/>
        <c:lblOffset val="100"/>
        <c:noMultiLvlLbl val="0"/>
      </c:catAx>
      <c:valAx>
        <c:axId val="9206607"/>
        <c:scaling>
          <c:orientation val="minMax"/>
        </c:scaling>
        <c:delete val="1"/>
        <c:axPos val="l"/>
        <c:numFmt formatCode="0.00%" sourceLinked="1"/>
        <c:majorTickMark val="none"/>
        <c:minorTickMark val="none"/>
        <c:tickLblPos val="nextTo"/>
        <c:crossAx val="9196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263071</xdr:colOff>
      <xdr:row>2</xdr:row>
      <xdr:rowOff>45357</xdr:rowOff>
    </xdr:from>
    <xdr:to>
      <xdr:col>3</xdr:col>
      <xdr:colOff>285750</xdr:colOff>
      <xdr:row>15</xdr:row>
      <xdr:rowOff>127000</xdr:rowOff>
    </xdr:to>
    <xdr:sp macro="" textlink="">
      <xdr:nvSpPr>
        <xdr:cNvPr id="2" name="Rectangle: Rounded Corners 1">
          <a:extLst>
            <a:ext uri="{FF2B5EF4-FFF2-40B4-BE49-F238E27FC236}">
              <a16:creationId xmlns:a16="http://schemas.microsoft.com/office/drawing/2014/main" id="{FCAEE4AD-0738-A8BF-CD5A-D92374F0F1BF}"/>
            </a:ext>
          </a:extLst>
        </xdr:cNvPr>
        <xdr:cNvSpPr/>
      </xdr:nvSpPr>
      <xdr:spPr>
        <a:xfrm>
          <a:off x="263071" y="830448"/>
          <a:ext cx="1858406" cy="2483097"/>
        </a:xfrm>
        <a:prstGeom prst="roundRect">
          <a:avLst/>
        </a:prstGeom>
        <a:solidFill>
          <a:schemeClr val="tx2">
            <a:lumMod val="7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latin typeface="Agency FB" panose="020B0503020202020204" pitchFamily="34" charset="0"/>
            </a:rPr>
            <a:t>Overview of Revenue, Sales, costs, and defects </a:t>
          </a:r>
        </a:p>
      </xdr:txBody>
    </xdr:sp>
    <xdr:clientData/>
  </xdr:twoCellAnchor>
  <xdr:twoCellAnchor>
    <xdr:from>
      <xdr:col>3</xdr:col>
      <xdr:colOff>510647</xdr:colOff>
      <xdr:row>2</xdr:row>
      <xdr:rowOff>126999</xdr:rowOff>
    </xdr:from>
    <xdr:to>
      <xdr:col>9</xdr:col>
      <xdr:colOff>489480</xdr:colOff>
      <xdr:row>15</xdr:row>
      <xdr:rowOff>31750</xdr:rowOff>
    </xdr:to>
    <xdr:graphicFrame macro="">
      <xdr:nvGraphicFramePr>
        <xdr:cNvPr id="6" name="Chart 5">
          <a:extLst>
            <a:ext uri="{FF2B5EF4-FFF2-40B4-BE49-F238E27FC236}">
              <a16:creationId xmlns:a16="http://schemas.microsoft.com/office/drawing/2014/main" id="{AA291347-03E8-4849-80C4-1D56346BE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346747</xdr:colOff>
      <xdr:row>2</xdr:row>
      <xdr:rowOff>63499</xdr:rowOff>
    </xdr:from>
    <xdr:to>
      <xdr:col>17</xdr:col>
      <xdr:colOff>431413</xdr:colOff>
      <xdr:row>15</xdr:row>
      <xdr:rowOff>21167</xdr:rowOff>
    </xdr:to>
    <xdr:graphicFrame macro="">
      <xdr:nvGraphicFramePr>
        <xdr:cNvPr id="7" name="Chart 6">
          <a:extLst>
            <a:ext uri="{FF2B5EF4-FFF2-40B4-BE49-F238E27FC236}">
              <a16:creationId xmlns:a16="http://schemas.microsoft.com/office/drawing/2014/main" id="{11938BB6-3D89-4FFA-9ED0-4FC330E16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492126</xdr:colOff>
      <xdr:row>16</xdr:row>
      <xdr:rowOff>31749</xdr:rowOff>
    </xdr:from>
    <xdr:to>
      <xdr:col>9</xdr:col>
      <xdr:colOff>508000</xdr:colOff>
      <xdr:row>29</xdr:row>
      <xdr:rowOff>137583</xdr:rowOff>
    </xdr:to>
    <xdr:graphicFrame macro="">
      <xdr:nvGraphicFramePr>
        <xdr:cNvPr id="8" name="Chart 7">
          <a:extLst>
            <a:ext uri="{FF2B5EF4-FFF2-40B4-BE49-F238E27FC236}">
              <a16:creationId xmlns:a16="http://schemas.microsoft.com/office/drawing/2014/main" id="{545D4D78-28EE-44F8-88AA-E181069EE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571501</xdr:colOff>
      <xdr:row>2</xdr:row>
      <xdr:rowOff>31749</xdr:rowOff>
    </xdr:from>
    <xdr:to>
      <xdr:col>21</xdr:col>
      <xdr:colOff>393700</xdr:colOff>
      <xdr:row>25</xdr:row>
      <xdr:rowOff>38100</xdr:rowOff>
    </xdr:to>
    <xdr:graphicFrame macro="">
      <xdr:nvGraphicFramePr>
        <xdr:cNvPr id="9" name="Chart 8">
          <a:extLst>
            <a:ext uri="{FF2B5EF4-FFF2-40B4-BE49-F238E27FC236}">
              <a16:creationId xmlns:a16="http://schemas.microsoft.com/office/drawing/2014/main" id="{E8A84B4A-57A2-4C75-8010-5CEDC46D4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334817</xdr:colOff>
      <xdr:row>15</xdr:row>
      <xdr:rowOff>150092</xdr:rowOff>
    </xdr:from>
    <xdr:to>
      <xdr:col>17</xdr:col>
      <xdr:colOff>443344</xdr:colOff>
      <xdr:row>29</xdr:row>
      <xdr:rowOff>161637</xdr:rowOff>
    </xdr:to>
    <xdr:graphicFrame macro="">
      <xdr:nvGraphicFramePr>
        <xdr:cNvPr id="10" name="Chart 9">
          <a:extLst>
            <a:ext uri="{FF2B5EF4-FFF2-40B4-BE49-F238E27FC236}">
              <a16:creationId xmlns:a16="http://schemas.microsoft.com/office/drawing/2014/main" id="{DF7F8034-A08F-441B-A99F-4AB452A42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184727</xdr:colOff>
      <xdr:row>12</xdr:row>
      <xdr:rowOff>161636</xdr:rowOff>
    </xdr:from>
    <xdr:to>
      <xdr:col>3</xdr:col>
      <xdr:colOff>115454</xdr:colOff>
      <xdr:row>14</xdr:row>
      <xdr:rowOff>80819</xdr:rowOff>
    </xdr:to>
    <xdr:sp macro="" textlink="">
      <xdr:nvSpPr>
        <xdr:cNvPr id="11" name="Arrow: Right 10">
          <a:extLst>
            <a:ext uri="{FF2B5EF4-FFF2-40B4-BE49-F238E27FC236}">
              <a16:creationId xmlns:a16="http://schemas.microsoft.com/office/drawing/2014/main" id="{DFB222F9-B7AE-31BD-D59E-6003BE61C476}"/>
            </a:ext>
          </a:extLst>
        </xdr:cNvPr>
        <xdr:cNvSpPr/>
      </xdr:nvSpPr>
      <xdr:spPr>
        <a:xfrm>
          <a:off x="1408545" y="2794000"/>
          <a:ext cx="542636" cy="28863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409863</xdr:colOff>
      <xdr:row>10</xdr:row>
      <xdr:rowOff>79374</xdr:rowOff>
    </xdr:from>
    <xdr:to>
      <xdr:col>29</xdr:col>
      <xdr:colOff>86591</xdr:colOff>
      <xdr:row>24</xdr:row>
      <xdr:rowOff>27421</xdr:rowOff>
    </xdr:to>
    <xdr:graphicFrame macro="">
      <xdr:nvGraphicFramePr>
        <xdr:cNvPr id="12" name="Chart 11">
          <a:extLst>
            <a:ext uri="{FF2B5EF4-FFF2-40B4-BE49-F238E27FC236}">
              <a16:creationId xmlns:a16="http://schemas.microsoft.com/office/drawing/2014/main" id="{91E9B482-331F-4665-B14C-CB2C8361A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492126</xdr:colOff>
      <xdr:row>30</xdr:row>
      <xdr:rowOff>79375</xdr:rowOff>
    </xdr:from>
    <xdr:to>
      <xdr:col>20</xdr:col>
      <xdr:colOff>79376</xdr:colOff>
      <xdr:row>44</xdr:row>
      <xdr:rowOff>155575</xdr:rowOff>
    </xdr:to>
    <xdr:graphicFrame macro="">
      <xdr:nvGraphicFramePr>
        <xdr:cNvPr id="14" name="Chart 13">
          <a:extLst>
            <a:ext uri="{FF2B5EF4-FFF2-40B4-BE49-F238E27FC236}">
              <a16:creationId xmlns:a16="http://schemas.microsoft.com/office/drawing/2014/main" id="{E395BAFF-7817-41D3-A51F-204DB7694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245341</xdr:colOff>
      <xdr:row>25</xdr:row>
      <xdr:rowOff>69850</xdr:rowOff>
    </xdr:from>
    <xdr:to>
      <xdr:col>29</xdr:col>
      <xdr:colOff>86591</xdr:colOff>
      <xdr:row>44</xdr:row>
      <xdr:rowOff>152400</xdr:rowOff>
    </xdr:to>
    <xdr:graphicFrame macro="">
      <xdr:nvGraphicFramePr>
        <xdr:cNvPr id="15" name="Chart 14">
          <a:extLst>
            <a:ext uri="{FF2B5EF4-FFF2-40B4-BE49-F238E27FC236}">
              <a16:creationId xmlns:a16="http://schemas.microsoft.com/office/drawing/2014/main" id="{EE62A6C6-19AE-4D52-8933-3B8E19327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200025</xdr:colOff>
      <xdr:row>33</xdr:row>
      <xdr:rowOff>14714</xdr:rowOff>
    </xdr:from>
    <xdr:to>
      <xdr:col>3</xdr:col>
      <xdr:colOff>269875</xdr:colOff>
      <xdr:row>43</xdr:row>
      <xdr:rowOff>9524</xdr:rowOff>
    </xdr:to>
    <xdr:pic>
      <xdr:nvPicPr>
        <xdr:cNvPr id="20" name="Graphic 19" descr="Coins with solid fill">
          <a:extLst>
            <a:ext uri="{FF2B5EF4-FFF2-40B4-BE49-F238E27FC236}">
              <a16:creationId xmlns:a16="http://schemas.microsoft.com/office/drawing/2014/main" id="{42E9AFF1-99AF-03FC-46F9-EB58AD71BCC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0025" y="6713964"/>
          <a:ext cx="1879600" cy="1899811"/>
        </a:xfrm>
        <a:prstGeom prst="rect">
          <a:avLst/>
        </a:prstGeom>
      </xdr:spPr>
    </xdr:pic>
    <xdr:clientData/>
  </xdr:twoCellAnchor>
  <xdr:twoCellAnchor editAs="oneCell">
    <xdr:from>
      <xdr:col>0</xdr:col>
      <xdr:colOff>134124</xdr:colOff>
      <xdr:row>19</xdr:row>
      <xdr:rowOff>165874</xdr:rowOff>
    </xdr:from>
    <xdr:to>
      <xdr:col>3</xdr:col>
      <xdr:colOff>206375</xdr:colOff>
      <xdr:row>29</xdr:row>
      <xdr:rowOff>142875</xdr:rowOff>
    </xdr:to>
    <xdr:pic>
      <xdr:nvPicPr>
        <xdr:cNvPr id="24" name="Graphic 23" descr="Statistics with solid fill">
          <a:extLst>
            <a:ext uri="{FF2B5EF4-FFF2-40B4-BE49-F238E27FC236}">
              <a16:creationId xmlns:a16="http://schemas.microsoft.com/office/drawing/2014/main" id="{9B9B61EF-9FFC-B3DE-6FA1-347954DE11F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4124" y="4198124"/>
          <a:ext cx="1882001" cy="1882001"/>
        </a:xfrm>
        <a:prstGeom prst="rect">
          <a:avLst/>
        </a:prstGeom>
      </xdr:spPr>
    </xdr:pic>
    <xdr:clientData/>
  </xdr:twoCellAnchor>
  <xdr:twoCellAnchor editAs="oneCell">
    <xdr:from>
      <xdr:col>21</xdr:col>
      <xdr:colOff>254001</xdr:colOff>
      <xdr:row>3</xdr:row>
      <xdr:rowOff>47625</xdr:rowOff>
    </xdr:from>
    <xdr:to>
      <xdr:col>23</xdr:col>
      <xdr:colOff>381001</xdr:colOff>
      <xdr:row>9</xdr:row>
      <xdr:rowOff>111124</xdr:rowOff>
    </xdr:to>
    <mc:AlternateContent xmlns:mc="http://schemas.openxmlformats.org/markup-compatibility/2006">
      <mc:Choice xmlns:a14="http://schemas.microsoft.com/office/drawing/2010/main" Requires="a14">
        <xdr:graphicFrame macro="">
          <xdr:nvGraphicFramePr>
            <xdr:cNvPr id="3" name="Product type">
              <a:extLst>
                <a:ext uri="{FF2B5EF4-FFF2-40B4-BE49-F238E27FC236}">
                  <a16:creationId xmlns:a16="http://schemas.microsoft.com/office/drawing/2014/main" id="{9EC96A14-3AB4-4D0D-8DFD-93AE3ABF4CFB}"/>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12922251" y="1047750"/>
              <a:ext cx="1333500" cy="1206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428626</xdr:colOff>
      <xdr:row>3</xdr:row>
      <xdr:rowOff>31751</xdr:rowOff>
    </xdr:from>
    <xdr:to>
      <xdr:col>25</xdr:col>
      <xdr:colOff>428626</xdr:colOff>
      <xdr:row>9</xdr:row>
      <xdr:rowOff>127000</xdr:rowOff>
    </xdr:to>
    <mc:AlternateContent xmlns:mc="http://schemas.openxmlformats.org/markup-compatibility/2006">
      <mc:Choice xmlns:a14="http://schemas.microsoft.com/office/drawing/2010/main" Requires="a14">
        <xdr:graphicFrame macro="">
          <xdr:nvGraphicFramePr>
            <xdr:cNvPr id="4" name="SKU">
              <a:extLst>
                <a:ext uri="{FF2B5EF4-FFF2-40B4-BE49-F238E27FC236}">
                  <a16:creationId xmlns:a16="http://schemas.microsoft.com/office/drawing/2014/main" id="{3BB7F960-22E1-4F9A-A67A-4DA8B81AD6DB}"/>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14303376" y="1031876"/>
              <a:ext cx="120650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476250</xdr:colOff>
      <xdr:row>3</xdr:row>
      <xdr:rowOff>31750</xdr:rowOff>
    </xdr:from>
    <xdr:to>
      <xdr:col>27</xdr:col>
      <xdr:colOff>460375</xdr:colOff>
      <xdr:row>9</xdr:row>
      <xdr:rowOff>126999</xdr:rowOff>
    </xdr:to>
    <mc:AlternateContent xmlns:mc="http://schemas.openxmlformats.org/markup-compatibility/2006">
      <mc:Choice xmlns:a14="http://schemas.microsoft.com/office/drawing/2010/main" Requires="a14">
        <xdr:graphicFrame macro="">
          <xdr:nvGraphicFramePr>
            <xdr:cNvPr id="5" name="Shipping carriers">
              <a:extLst>
                <a:ext uri="{FF2B5EF4-FFF2-40B4-BE49-F238E27FC236}">
                  <a16:creationId xmlns:a16="http://schemas.microsoft.com/office/drawing/2014/main" id="{3478F927-E8ED-476E-8CF0-520296CB21E7}"/>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dr:sp macro="" textlink="">
          <xdr:nvSpPr>
            <xdr:cNvPr id="0" name=""/>
            <xdr:cNvSpPr>
              <a:spLocks noTextEdit="1"/>
            </xdr:cNvSpPr>
          </xdr:nvSpPr>
          <xdr:spPr>
            <a:xfrm>
              <a:off x="15557500" y="1031875"/>
              <a:ext cx="1190625"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492124</xdr:colOff>
      <xdr:row>3</xdr:row>
      <xdr:rowOff>47625</xdr:rowOff>
    </xdr:from>
    <xdr:to>
      <xdr:col>29</xdr:col>
      <xdr:colOff>508000</xdr:colOff>
      <xdr:row>9</xdr:row>
      <xdr:rowOff>108858</xdr:rowOff>
    </xdr:to>
    <mc:AlternateContent xmlns:mc="http://schemas.openxmlformats.org/markup-compatibility/2006">
      <mc:Choice xmlns:a14="http://schemas.microsoft.com/office/drawing/2010/main" Requires="a14">
        <xdr:graphicFrame macro="">
          <xdr:nvGraphicFramePr>
            <xdr:cNvPr id="13" name="Transportation modes">
              <a:extLst>
                <a:ext uri="{FF2B5EF4-FFF2-40B4-BE49-F238E27FC236}">
                  <a16:creationId xmlns:a16="http://schemas.microsoft.com/office/drawing/2014/main" id="{80539DF4-8352-4C92-A73C-548EAD0BE6DB}"/>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dr:sp macro="" textlink="">
          <xdr:nvSpPr>
            <xdr:cNvPr id="0" name=""/>
            <xdr:cNvSpPr>
              <a:spLocks noTextEdit="1"/>
            </xdr:cNvSpPr>
          </xdr:nvSpPr>
          <xdr:spPr>
            <a:xfrm>
              <a:off x="16779874" y="1047750"/>
              <a:ext cx="1222376" cy="1204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LAPTOP" refreshedDate="46024.702813773147" createdVersion="8" refreshedVersion="8" minRefreshableVersion="3" recordCount="100" xr:uid="{DD207502-D0D8-48FF-B63C-59453B6AA6CC}">
  <cacheSource type="worksheet">
    <worksheetSource ref="A1:AA101" sheet="supply_chain_data"/>
  </cacheSource>
  <cacheFields count="27">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2">
      <sharedItems containsSemiMixedTypes="0" containsString="0" containsNumber="1" minValue="1.6999760138659299" maxValue="99.171328638624104"/>
    </cacheField>
    <cacheField name="Availability" numFmtId="9">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discrepancy" numFmtId="2">
      <sharedItems containsSemiMixedTypes="0" containsString="0" containsNumber="1" minValue="-80910.097467415588" maxValue="9487.1921595240055"/>
    </cacheField>
    <cacheField name="Calculated Revenue" numFmtId="0">
      <sharedItems containsSemiMixedTypes="0" containsString="0" containsNumber="1" minValue="90.557466344724006" maxValue="87098.043651651766"/>
    </cacheField>
    <cacheField name="Revenue generated" numFmtId="2">
      <sharedItems containsSemiMixedTypes="0" containsString="0" containsNumber="1" minValue="1061.6185230132801" maxValue="9866.4654579796897"/>
    </cacheField>
    <cacheField name="Customer demographics" numFmtId="0">
      <sharedItems/>
    </cacheField>
    <cacheField name="Stock levels" numFmtId="0">
      <sharedItems containsSemiMixedTypes="0" containsString="0" containsNumber="1" containsInteger="1" minValue="0" maxValue="100"/>
    </cacheField>
    <cacheField name="Supplier 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_b"/>
        <s v="carrier_a"/>
        <s v="carrier_c"/>
      </sharedItems>
    </cacheField>
    <cacheField name="Shipping costs" numFmtId="2">
      <sharedItems containsSemiMixedTypes="0" containsString="0" containsNumber="1" minValue="1.0134865660958901" maxValue="9.9298162452772498"/>
    </cacheField>
    <cacheField name="Supplier name" numFmtId="0">
      <sharedItems/>
    </cacheField>
    <cacheField name="Location" numFmtId="0">
      <sharedItems count="5">
        <s v="mumbai"/>
        <s v="kolkata"/>
        <s v="delhi"/>
        <s v="bangalore"/>
        <s v="channai"/>
      </sharedItems>
    </cacheField>
    <cacheField name="Order 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0">
      <sharedItems containsSemiMixedTypes="0" containsString="0" containsNumber="1" minValue="1.0850685695870601" maxValue="99.466108603599096"/>
    </cacheField>
    <cacheField name="Inspection results" numFmtId="0">
      <sharedItems/>
    </cacheField>
    <cacheField name="Defect rate %" numFmtId="9">
      <sharedItems containsSemiMixedTypes="0" containsString="0" containsNumber="1" minValue="1.8607567631014899" maxValue="493.92552886209398"/>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acheField>
    <cacheField name="Total logistics Costs" numFmtId="0">
      <sharedItems containsSemiMixedTypes="0" containsString="0" containsNumber="1" minValue="103.916247960704" maxValue="997.41345013319403"/>
    </cacheField>
  </cacheFields>
  <extLst>
    <ext xmlns:x14="http://schemas.microsoft.com/office/spreadsheetml/2009/9/main" uri="{725AE2AE-9491-48be-B2B4-4EB974FC3084}">
      <x14:pivotCacheDefinition pivotCacheId="1661766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47324.023652384407"/>
    <n v="55986.02044477679"/>
    <n v="8661.9967923923796"/>
    <s v="non-binary"/>
    <n v="58"/>
    <n v="7"/>
    <n v="96"/>
    <n v="4"/>
    <x v="0"/>
    <n v="2.9565721394308002"/>
    <s v="supplier_3"/>
    <x v="0"/>
    <n v="29"/>
    <n v="215"/>
    <n v="29"/>
    <n v="46.279879240508301"/>
    <s v="pending"/>
    <n v="22.6410360849925"/>
    <n v="0.226410360849925"/>
    <x v="0"/>
    <s v="route_b"/>
    <n v="187.75207545920301"/>
  </r>
  <r>
    <x v="1"/>
    <x v="1"/>
    <n v="14.8435232750843"/>
    <n v="95"/>
    <n v="736"/>
    <n v="-3463.9330650162046"/>
    <n v="10924.833130462044"/>
    <n v="7460.9000654458396"/>
    <s v="female"/>
    <n v="53"/>
    <n v="30"/>
    <n v="37"/>
    <n v="2"/>
    <x v="1"/>
    <n v="9.7165747714313095"/>
    <s v="supplier_3"/>
    <x v="0"/>
    <n v="23"/>
    <n v="517"/>
    <n v="30"/>
    <n v="33.616768953730002"/>
    <s v="pending"/>
    <n v="485.40680263886998"/>
    <n v="4.8540680263886999"/>
    <x v="0"/>
    <s v="route_b"/>
    <n v="503.06557914966902"/>
  </r>
  <r>
    <x v="0"/>
    <x v="2"/>
    <n v="11.319683293090501"/>
    <n v="34"/>
    <n v="8"/>
    <n v="9487.1921595240055"/>
    <n v="90.557466344724006"/>
    <n v="9577.7496258687297"/>
    <s v="unknown"/>
    <n v="1"/>
    <n v="10"/>
    <n v="88"/>
    <n v="2"/>
    <x v="0"/>
    <n v="8.0544792617321495"/>
    <s v="supplier_1"/>
    <x v="0"/>
    <n v="12"/>
    <n v="971"/>
    <n v="27"/>
    <n v="30.6880193482842"/>
    <s v="pending"/>
    <n v="458.05926191992199"/>
    <n v="4.5805926191992201"/>
    <x v="1"/>
    <s v="route_c"/>
    <n v="141.920281771519"/>
  </r>
  <r>
    <x v="1"/>
    <x v="3"/>
    <n v="61.1633430164377"/>
    <n v="68"/>
    <n v="83"/>
    <n v="2690.2789553209013"/>
    <n v="5076.5574703643288"/>
    <n v="7766.8364256852301"/>
    <s v="non-binary"/>
    <n v="23"/>
    <n v="13"/>
    <n v="59"/>
    <n v="6"/>
    <x v="2"/>
    <n v="1.7295685635434199"/>
    <s v="supplier_5"/>
    <x v="1"/>
    <n v="24"/>
    <n v="937"/>
    <n v="18"/>
    <n v="35.624741397125"/>
    <s v="fail"/>
    <n v="474.66486206477498"/>
    <n v="4.7466486206477496"/>
    <x v="2"/>
    <s v="route_a"/>
    <n v="254.776159219286"/>
  </r>
  <r>
    <x v="1"/>
    <x v="4"/>
    <n v="4.8054960363458896"/>
    <n v="26"/>
    <n v="871"/>
    <n v="-1499.08189608983"/>
    <n v="4185.58704765727"/>
    <n v="2686.50515156744"/>
    <s v="non-binary"/>
    <n v="5"/>
    <n v="3"/>
    <n v="56"/>
    <n v="8"/>
    <x v="1"/>
    <n v="3.8905479158706702"/>
    <s v="supplier_1"/>
    <x v="2"/>
    <n v="5"/>
    <n v="414"/>
    <n v="3"/>
    <n v="92.065160598712794"/>
    <s v="fail"/>
    <n v="314.55795228330004"/>
    <n v="3.1455795228330001"/>
    <x v="1"/>
    <s v="route_a"/>
    <n v="923.44063171192204"/>
  </r>
  <r>
    <x v="0"/>
    <x v="5"/>
    <n v="1.6999760138659299"/>
    <n v="87"/>
    <n v="147"/>
    <n v="2578.4522719374581"/>
    <n v="249.8964740382917"/>
    <n v="2828.3487459757498"/>
    <s v="non-binary"/>
    <n v="90"/>
    <n v="27"/>
    <n v="66"/>
    <n v="3"/>
    <x v="0"/>
    <n v="4.4440988643822896"/>
    <s v="supplier_4"/>
    <x v="3"/>
    <n v="10"/>
    <n v="104"/>
    <n v="17"/>
    <n v="56.766475557431797"/>
    <s v="fail"/>
    <n v="277.91935115711601"/>
    <n v="2.7791935115711599"/>
    <x v="0"/>
    <s v="route_a"/>
    <n v="235.461236735537"/>
  </r>
  <r>
    <x v="1"/>
    <x v="6"/>
    <n v="4.0783328631079403"/>
    <n v="48"/>
    <n v="65"/>
    <n v="7558.384923429714"/>
    <n v="265.09163610201614"/>
    <n v="7823.4765595317303"/>
    <s v="male"/>
    <n v="11"/>
    <n v="15"/>
    <n v="58"/>
    <n v="8"/>
    <x v="2"/>
    <n v="3.8807633029519999"/>
    <s v="supplier_3"/>
    <x v="1"/>
    <n v="14"/>
    <n v="314"/>
    <n v="24"/>
    <n v="1.0850685695870601"/>
    <s v="pending"/>
    <n v="100.09106193041299"/>
    <n v="1.0009106193041299"/>
    <x v="3"/>
    <s v="route_a"/>
    <n v="134.36909686103101"/>
  </r>
  <r>
    <x v="2"/>
    <x v="7"/>
    <n v="42.958384382459997"/>
    <n v="59"/>
    <n v="426"/>
    <n v="-9804.1679338381291"/>
    <n v="18300.27174692796"/>
    <n v="8496.1038130898305"/>
    <s v="female"/>
    <n v="93"/>
    <n v="17"/>
    <n v="11"/>
    <n v="1"/>
    <x v="0"/>
    <n v="2.3483387844177801"/>
    <s v="supplier_4"/>
    <x v="3"/>
    <n v="22"/>
    <n v="564"/>
    <n v="1"/>
    <n v="99.466108603599096"/>
    <s v="fail"/>
    <n v="39.817718685065003"/>
    <n v="0.39817718685065001"/>
    <x v="0"/>
    <s v="route_c"/>
    <n v="802.05631181755803"/>
  </r>
  <r>
    <x v="2"/>
    <x v="8"/>
    <n v="68.717596748527299"/>
    <n v="78"/>
    <n v="150"/>
    <n v="-2790.2763016479748"/>
    <n v="10307.639512279095"/>
    <n v="7517.3632106311197"/>
    <s v="female"/>
    <n v="5"/>
    <n v="10"/>
    <n v="15"/>
    <n v="7"/>
    <x v="2"/>
    <n v="3.4047338570830199"/>
    <s v="supplier_4"/>
    <x v="0"/>
    <n v="13"/>
    <n v="769"/>
    <n v="8"/>
    <n v="11.423027139565599"/>
    <s v="pending"/>
    <n v="270.98626911099603"/>
    <n v="2.7098626911099601"/>
    <x v="3"/>
    <s v="route_b"/>
    <n v="505.55713422546398"/>
  </r>
  <r>
    <x v="1"/>
    <x v="9"/>
    <n v="64.0157329412785"/>
    <n v="35"/>
    <n v="980"/>
    <n v="-57764.272294867376"/>
    <n v="62735.418282452927"/>
    <n v="4971.1459875855498"/>
    <s v="unknown"/>
    <n v="14"/>
    <n v="27"/>
    <n v="83"/>
    <n v="1"/>
    <x v="1"/>
    <n v="7.1666452910482104"/>
    <s v="supplier_2"/>
    <x v="4"/>
    <n v="29"/>
    <n v="963"/>
    <n v="23"/>
    <n v="47.957601634951502"/>
    <s v="pending"/>
    <n v="384.46144787675797"/>
    <n v="3.8446144787675798"/>
    <x v="2"/>
    <s v="route_b"/>
    <n v="995.92946149864099"/>
  </r>
  <r>
    <x v="1"/>
    <x v="10"/>
    <n v="15.707795681912099"/>
    <n v="11"/>
    <n v="996"/>
    <n v="-13313.998697092511"/>
    <n v="15644.964499184451"/>
    <n v="2330.9658020919401"/>
    <s v="non-binary"/>
    <n v="51"/>
    <n v="13"/>
    <n v="80"/>
    <n v="2"/>
    <x v="2"/>
    <n v="8.6732112112786108"/>
    <s v="supplier_5"/>
    <x v="1"/>
    <n v="18"/>
    <n v="830"/>
    <n v="5"/>
    <n v="96.527352785310896"/>
    <s v="pass"/>
    <n v="172.73139283559399"/>
    <n v="1.72731392835594"/>
    <x v="0"/>
    <s v="route_b"/>
    <n v="806.10317770292295"/>
  </r>
  <r>
    <x v="1"/>
    <x v="11"/>
    <n v="90.635459982288594"/>
    <n v="95"/>
    <n v="960"/>
    <n v="-80910.097467415588"/>
    <n v="87010.041582997044"/>
    <n v="6099.9441155814502"/>
    <s v="female"/>
    <n v="46"/>
    <n v="23"/>
    <n v="60"/>
    <n v="1"/>
    <x v="1"/>
    <n v="4.5239431243166601"/>
    <s v="supplier_2"/>
    <x v="1"/>
    <n v="28"/>
    <n v="362"/>
    <n v="11"/>
    <n v="27.5923630866636"/>
    <s v="pending"/>
    <n v="2.1169821372994302"/>
    <n v="2.1169821372994301E-2"/>
    <x v="1"/>
    <s v="route_a"/>
    <n v="126.72303340940699"/>
  </r>
  <r>
    <x v="0"/>
    <x v="12"/>
    <n v="71.213389075359999"/>
    <n v="41"/>
    <n v="336"/>
    <n v="-21053.957283299522"/>
    <n v="23927.69872932096"/>
    <n v="2873.74144602144"/>
    <s v="unknown"/>
    <n v="100"/>
    <n v="30"/>
    <n v="85"/>
    <n v="4"/>
    <x v="1"/>
    <n v="1.32527401018452"/>
    <s v="supplier_4"/>
    <x v="1"/>
    <n v="3"/>
    <n v="563"/>
    <n v="3"/>
    <n v="32.321286213424003"/>
    <s v="fail"/>
    <n v="216.125374755591"/>
    <n v="2.1612537475559099"/>
    <x v="0"/>
    <s v="route_b"/>
    <n v="402.96878907376998"/>
  </r>
  <r>
    <x v="1"/>
    <x v="13"/>
    <n v="16.160393317379899"/>
    <n v="5"/>
    <n v="249"/>
    <n v="28.80048021026505"/>
    <n v="4023.9379360275948"/>
    <n v="4052.7384162378598"/>
    <s v="male"/>
    <n v="80"/>
    <n v="8"/>
    <n v="48"/>
    <n v="9"/>
    <x v="1"/>
    <n v="9.5372830611083295"/>
    <s v="supplier_5"/>
    <x v="3"/>
    <n v="23"/>
    <n v="173"/>
    <n v="10"/>
    <n v="97.829050110173199"/>
    <s v="pending"/>
    <n v="163.10742300715299"/>
    <n v="1.63107423007153"/>
    <x v="0"/>
    <s v="route_b"/>
    <n v="547.24100516096803"/>
  </r>
  <r>
    <x v="1"/>
    <x v="14"/>
    <n v="99.171328638624104"/>
    <n v="26"/>
    <n v="562"/>
    <n v="-47080.715768436945"/>
    <n v="55734.286694906747"/>
    <n v="8653.5709264697998"/>
    <s v="non-binary"/>
    <n v="54"/>
    <n v="29"/>
    <n v="78"/>
    <n v="5"/>
    <x v="0"/>
    <n v="2.0397701894493299"/>
    <s v="supplier_1"/>
    <x v="1"/>
    <n v="25"/>
    <n v="558"/>
    <n v="14"/>
    <n v="5.7914366298629796"/>
    <s v="pending"/>
    <n v="10.068285156509301"/>
    <n v="0.100682851565093"/>
    <x v="1"/>
    <s v="route_b"/>
    <n v="929.23528996088896"/>
  </r>
  <r>
    <x v="1"/>
    <x v="15"/>
    <n v="36.989244928626903"/>
    <n v="94"/>
    <n v="469"/>
    <n v="-11905.869086128347"/>
    <n v="17347.955871526017"/>
    <n v="5442.0867853976697"/>
    <s v="non-binary"/>
    <n v="9"/>
    <n v="8"/>
    <n v="69"/>
    <n v="7"/>
    <x v="0"/>
    <n v="2.4220397232752"/>
    <s v="supplier_1"/>
    <x v="3"/>
    <n v="14"/>
    <n v="580"/>
    <n v="7"/>
    <n v="97.121281751474299"/>
    <s v="pass"/>
    <n v="226.44057611985403"/>
    <n v="2.2644057611985402"/>
    <x v="3"/>
    <s v="route_b"/>
    <n v="127.861800001625"/>
  </r>
  <r>
    <x v="1"/>
    <x v="16"/>
    <n v="7.5471721097912701"/>
    <n v="74"/>
    <n v="280"/>
    <n v="4340.589777434725"/>
    <n v="2113.2081907415554"/>
    <n v="6453.7979681762799"/>
    <s v="female"/>
    <n v="2"/>
    <n v="5"/>
    <n v="78"/>
    <n v="1"/>
    <x v="0"/>
    <n v="4.1913245857054999"/>
    <s v="supplier_1"/>
    <x v="3"/>
    <n v="3"/>
    <n v="399"/>
    <n v="21"/>
    <n v="77.106342497849994"/>
    <s v="pass"/>
    <n v="101.25630892580399"/>
    <n v="1.01256308925804"/>
    <x v="1"/>
    <s v="route_a"/>
    <n v="865.52577977123997"/>
  </r>
  <r>
    <x v="2"/>
    <x v="17"/>
    <n v="81.462534369237005"/>
    <n v="82"/>
    <n v="126"/>
    <n v="-7634.8828956786028"/>
    <n v="10264.279330523863"/>
    <n v="2629.39643484526"/>
    <s v="female"/>
    <n v="45"/>
    <n v="17"/>
    <n v="85"/>
    <n v="9"/>
    <x v="2"/>
    <n v="3.5854189582323399"/>
    <s v="supplier_1"/>
    <x v="4"/>
    <n v="7"/>
    <n v="453"/>
    <n v="16"/>
    <n v="47.679680368355299"/>
    <s v="fail"/>
    <n v="10.202075491817601"/>
    <n v="0.102020754918176"/>
    <x v="1"/>
    <s v="route_c"/>
    <n v="670.93439079241"/>
  </r>
  <r>
    <x v="0"/>
    <x v="18"/>
    <n v="36.4436277704609"/>
    <n v="23"/>
    <n v="620"/>
    <n v="-13230.375712609588"/>
    <n v="22595.049217685759"/>
    <n v="9364.6735050761708"/>
    <s v="unknown"/>
    <n v="10"/>
    <n v="10"/>
    <n v="46"/>
    <n v="8"/>
    <x v="2"/>
    <n v="4.3392247141107001"/>
    <s v="supplier_2"/>
    <x v="1"/>
    <n v="18"/>
    <n v="374"/>
    <n v="17"/>
    <n v="27.107980854843898"/>
    <s v="pending"/>
    <n v="223.193911072926"/>
    <n v="2.2319391107292601"/>
    <x v="3"/>
    <s v="route_a"/>
    <n v="593.48025872065102"/>
  </r>
  <r>
    <x v="1"/>
    <x v="19"/>
    <n v="51.123870087964697"/>
    <n v="100"/>
    <n v="187"/>
    <n v="-7006.6681214581895"/>
    <n v="9560.1637064493989"/>
    <n v="2553.4955849912099"/>
    <s v="unknown"/>
    <n v="48"/>
    <n v="11"/>
    <n v="94"/>
    <n v="3"/>
    <x v="1"/>
    <n v="4.7426358828418698"/>
    <s v="supplier_4"/>
    <x v="4"/>
    <n v="20"/>
    <n v="694"/>
    <n v="16"/>
    <n v="82.373320587990193"/>
    <s v="fail"/>
    <n v="364.64508654170203"/>
    <n v="3.64645086541702"/>
    <x v="0"/>
    <s v="route_c"/>
    <n v="477.30763109090299"/>
  </r>
  <r>
    <x v="1"/>
    <x v="20"/>
    <n v="96.341072439963298"/>
    <n v="22"/>
    <n v="320"/>
    <n v="-22701.115483937065"/>
    <n v="30829.143180788255"/>
    <n v="8128.0276968511898"/>
    <s v="unknown"/>
    <n v="27"/>
    <n v="12"/>
    <n v="68"/>
    <n v="6"/>
    <x v="1"/>
    <n v="8.8783346509268402"/>
    <s v="supplier_1"/>
    <x v="4"/>
    <n v="29"/>
    <n v="309"/>
    <n v="6"/>
    <n v="65.686259608488598"/>
    <s v="pass"/>
    <n v="423.14165735345301"/>
    <n v="4.2314165735345304"/>
    <x v="1"/>
    <s v="route_b"/>
    <n v="493.871215316205"/>
  </r>
  <r>
    <x v="2"/>
    <x v="21"/>
    <n v="84.893868984950799"/>
    <n v="60"/>
    <n v="601"/>
    <n v="-43934.162563598002"/>
    <n v="51021.215259955432"/>
    <n v="7087.0526963574302"/>
    <s v="unknown"/>
    <n v="69"/>
    <n v="25"/>
    <n v="7"/>
    <n v="6"/>
    <x v="0"/>
    <n v="6.0378837692182898"/>
    <s v="supplier_5"/>
    <x v="4"/>
    <n v="19"/>
    <n v="791"/>
    <n v="4"/>
    <n v="61.735728954160898"/>
    <s v="pending"/>
    <n v="1.8607567631014899"/>
    <n v="1.8607567631014899E-2"/>
    <x v="1"/>
    <s v="route_c"/>
    <n v="523.36091472015801"/>
  </r>
  <r>
    <x v="0"/>
    <x v="22"/>
    <n v="27.679780886501899"/>
    <n v="55"/>
    <n v="884"/>
    <n v="-22078.118437111509"/>
    <n v="24468.926303667678"/>
    <n v="2390.8078665561702"/>
    <s v="unknown"/>
    <n v="71"/>
    <n v="1"/>
    <n v="63"/>
    <n v="10"/>
    <x v="1"/>
    <n v="9.5676489209230393"/>
    <s v="supplier_4"/>
    <x v="1"/>
    <n v="22"/>
    <n v="780"/>
    <n v="28"/>
    <n v="50.120839612977299"/>
    <s v="fail"/>
    <n v="259.12754732111097"/>
    <n v="2.5912754732111098"/>
    <x v="2"/>
    <s v="route_c"/>
    <n v="205.57199582694699"/>
  </r>
  <r>
    <x v="2"/>
    <x v="23"/>
    <n v="4.3243411858641601"/>
    <n v="30"/>
    <n v="391"/>
    <n v="7167.5501673385934"/>
    <n v="1690.8174036728865"/>
    <n v="8858.3675710114803"/>
    <s v="unknown"/>
    <n v="84"/>
    <n v="5"/>
    <n v="29"/>
    <n v="7"/>
    <x v="1"/>
    <n v="2.92485760114555"/>
    <s v="supplier_5"/>
    <x v="1"/>
    <n v="11"/>
    <n v="568"/>
    <n v="29"/>
    <n v="98.6099572427038"/>
    <s v="pending"/>
    <n v="134.229156272273"/>
    <n v="1.3422915627227301"/>
    <x v="2"/>
    <s v="route_a"/>
    <n v="196.329446112412"/>
  </r>
  <r>
    <x v="0"/>
    <x v="24"/>
    <n v="4.1563083593111001"/>
    <n v="32"/>
    <n v="209"/>
    <n v="8180.4094138438695"/>
    <n v="868.66844709601992"/>
    <n v="9049.0778609398894"/>
    <s v="male"/>
    <n v="4"/>
    <n v="26"/>
    <n v="2"/>
    <n v="8"/>
    <x v="2"/>
    <n v="9.7412916892843597"/>
    <s v="supplier_2"/>
    <x v="3"/>
    <n v="28"/>
    <n v="447"/>
    <n v="3"/>
    <n v="40.382359702924802"/>
    <s v="pending"/>
    <n v="369.131029262872"/>
    <n v="3.69131029262872"/>
    <x v="1"/>
    <s v="route_a"/>
    <n v="758.72477260293795"/>
  </r>
  <r>
    <x v="0"/>
    <x v="25"/>
    <n v="39.629343985092603"/>
    <n v="73"/>
    <n v="142"/>
    <n v="-3452.5897915324999"/>
    <n v="5627.3668458831498"/>
    <n v="2174.7770543506499"/>
    <s v="male"/>
    <n v="82"/>
    <n v="11"/>
    <n v="52"/>
    <n v="3"/>
    <x v="2"/>
    <n v="2.2310736812817198"/>
    <s v="supplier_4"/>
    <x v="1"/>
    <n v="19"/>
    <n v="934"/>
    <n v="23"/>
    <n v="78.280383118415301"/>
    <s v="pending"/>
    <n v="379.723121711418"/>
    <n v="3.79723121711418"/>
    <x v="0"/>
    <s v="route_b"/>
    <n v="458.53594573920901"/>
  </r>
  <r>
    <x v="0"/>
    <x v="26"/>
    <n v="97.446946617892806"/>
    <n v="9"/>
    <n v="353"/>
    <n v="-30682.278830222131"/>
    <n v="34398.77215611616"/>
    <n v="3716.49332589403"/>
    <s v="male"/>
    <n v="59"/>
    <n v="16"/>
    <n v="48"/>
    <n v="4"/>
    <x v="0"/>
    <n v="6.5075486210785503"/>
    <s v="supplier_2"/>
    <x v="3"/>
    <n v="26"/>
    <n v="171"/>
    <n v="4"/>
    <n v="15.972229757181699"/>
    <s v="pass"/>
    <n v="211.93197367249201"/>
    <n v="2.1193197367249201"/>
    <x v="2"/>
    <s v="route_a"/>
    <n v="617.86691645837698"/>
  </r>
  <r>
    <x v="2"/>
    <x v="27"/>
    <n v="92.557360812401996"/>
    <n v="42"/>
    <n v="352"/>
    <n v="-29893.733782389521"/>
    <n v="32580.191005965502"/>
    <n v="2686.4572235759802"/>
    <s v="unknown"/>
    <n v="47"/>
    <n v="9"/>
    <n v="62"/>
    <n v="8"/>
    <x v="2"/>
    <n v="7.4067509529980704"/>
    <s v="supplier_5"/>
    <x v="0"/>
    <n v="25"/>
    <n v="291"/>
    <n v="4"/>
    <n v="10.5282450700421"/>
    <s v="fail"/>
    <n v="286.46678378833701"/>
    <n v="2.8646678378833701"/>
    <x v="3"/>
    <s v="route_b"/>
    <n v="762.45918215568304"/>
  </r>
  <r>
    <x v="2"/>
    <x v="28"/>
    <n v="2.3972747055971402"/>
    <n v="12"/>
    <n v="394"/>
    <n v="5172.7983810787164"/>
    <n v="944.52623400527318"/>
    <n v="6117.3246150839896"/>
    <s v="female"/>
    <n v="48"/>
    <n v="15"/>
    <n v="24"/>
    <n v="4"/>
    <x v="0"/>
    <n v="9.8981405080692202"/>
    <s v="supplier_1"/>
    <x v="0"/>
    <n v="13"/>
    <n v="171"/>
    <n v="7"/>
    <n v="59.429381810691503"/>
    <s v="fail"/>
    <n v="81.575707929567201"/>
    <n v="0.81575707929567198"/>
    <x v="1"/>
    <s v="route_a"/>
    <n v="123.437027511827"/>
  </r>
  <r>
    <x v="2"/>
    <x v="29"/>
    <n v="63.447559185207297"/>
    <n v="3"/>
    <n v="253"/>
    <n v="-7733.3292792402754"/>
    <n v="16052.232473857446"/>
    <n v="8318.9031946171708"/>
    <s v="female"/>
    <n v="45"/>
    <n v="5"/>
    <n v="67"/>
    <n v="7"/>
    <x v="0"/>
    <n v="8.1009731453970293"/>
    <s v="supplier_1"/>
    <x v="1"/>
    <n v="16"/>
    <n v="329"/>
    <n v="7"/>
    <n v="39.292875586065698"/>
    <s v="pass"/>
    <n v="387.80989365884801"/>
    <n v="3.8780989365884802"/>
    <x v="0"/>
    <s v="route_b"/>
    <n v="764.93537594070801"/>
  </r>
  <r>
    <x v="0"/>
    <x v="30"/>
    <n v="8.0228592105263896"/>
    <n v="10"/>
    <n v="327"/>
    <n v="142.8674050239506"/>
    <n v="2623.4749618421292"/>
    <n v="2766.3423668660798"/>
    <s v="male"/>
    <n v="60"/>
    <n v="26"/>
    <n v="35"/>
    <n v="7"/>
    <x v="0"/>
    <n v="8.9545283153180097"/>
    <s v="supplier_4"/>
    <x v="1"/>
    <n v="27"/>
    <n v="806"/>
    <n v="30"/>
    <n v="51.634893400109299"/>
    <s v="pending"/>
    <n v="96.539470535239303"/>
    <n v="0.96539470535239302"/>
    <x v="0"/>
    <s v="route_c"/>
    <n v="880.08098824716103"/>
  </r>
  <r>
    <x v="1"/>
    <x v="31"/>
    <n v="50.847393051718697"/>
    <n v="28"/>
    <n v="168"/>
    <n v="1112.7730700306493"/>
    <n v="8542.3620326887412"/>
    <n v="9655.1351027193905"/>
    <s v="male"/>
    <n v="6"/>
    <n v="17"/>
    <n v="44"/>
    <n v="4"/>
    <x v="0"/>
    <n v="2.6796609649813998"/>
    <s v="supplier_3"/>
    <x v="4"/>
    <n v="24"/>
    <n v="461"/>
    <n v="8"/>
    <n v="60.251145661598002"/>
    <s v="pending"/>
    <n v="298.90000066550704"/>
    <n v="2.9890000066550702"/>
    <x v="2"/>
    <s v="route_c"/>
    <n v="609.379206618426"/>
  </r>
  <r>
    <x v="1"/>
    <x v="32"/>
    <n v="79.209936015656695"/>
    <n v="43"/>
    <n v="781"/>
    <n v="-52291.409540900066"/>
    <n v="61862.960028227877"/>
    <n v="9571.5504873278096"/>
    <s v="unknown"/>
    <n v="89"/>
    <n v="13"/>
    <n v="64"/>
    <n v="4"/>
    <x v="2"/>
    <n v="6.5991049012385803"/>
    <s v="supplier_3"/>
    <x v="1"/>
    <n v="30"/>
    <n v="737"/>
    <n v="7"/>
    <n v="29.6924671537497"/>
    <s v="pass"/>
    <n v="194.60361193861101"/>
    <n v="1.94603611938611"/>
    <x v="0"/>
    <s v="route_a"/>
    <n v="761.17390951487698"/>
  </r>
  <r>
    <x v="2"/>
    <x v="33"/>
    <n v="64.795435000155607"/>
    <n v="63"/>
    <n v="616"/>
    <n v="-34763.989609687822"/>
    <n v="39913.987960095852"/>
    <n v="5149.9983504080301"/>
    <s v="non-binary"/>
    <n v="4"/>
    <n v="17"/>
    <n v="95"/>
    <n v="9"/>
    <x v="2"/>
    <n v="4.85827050343664"/>
    <s v="supplier_5"/>
    <x v="4"/>
    <n v="1"/>
    <n v="251"/>
    <n v="23"/>
    <n v="23.853427512896101"/>
    <s v="fail"/>
    <n v="354.10460122509198"/>
    <n v="3.54104601225092"/>
    <x v="3"/>
    <s v="route_a"/>
    <n v="371.25529551987103"/>
  </r>
  <r>
    <x v="1"/>
    <x v="34"/>
    <n v="37.467592329842397"/>
    <n v="96"/>
    <n v="602"/>
    <n v="-13493.779687057402"/>
    <n v="22555.490582565122"/>
    <n v="9061.7108955077201"/>
    <s v="unknown"/>
    <n v="1"/>
    <n v="26"/>
    <n v="21"/>
    <n v="7"/>
    <x v="1"/>
    <n v="1.0194875708221101"/>
    <s v="supplier_1"/>
    <x v="4"/>
    <n v="4"/>
    <n v="452"/>
    <n v="10"/>
    <n v="10.754272815029299"/>
    <s v="pass"/>
    <n v="64.660455937205398"/>
    <n v="0.64660455937205397"/>
    <x v="0"/>
    <s v="route_b"/>
    <n v="510.35800043352299"/>
  </r>
  <r>
    <x v="2"/>
    <x v="35"/>
    <n v="84.957786816350406"/>
    <n v="11"/>
    <n v="449"/>
    <n v="-31604.716935738874"/>
    <n v="38146.046280541334"/>
    <n v="6541.3293448024597"/>
    <s v="female"/>
    <n v="42"/>
    <n v="27"/>
    <n v="85"/>
    <n v="8"/>
    <x v="2"/>
    <n v="5.2881899903273997"/>
    <s v="supplier_1"/>
    <x v="2"/>
    <n v="3"/>
    <n v="367"/>
    <n v="2"/>
    <n v="58.004787044743701"/>
    <s v="pass"/>
    <n v="54.115409806058103"/>
    <n v="0.54115409806058101"/>
    <x v="3"/>
    <s v="route_c"/>
    <n v="553.42047123035502"/>
  </r>
  <r>
    <x v="1"/>
    <x v="36"/>
    <n v="9.81300257875405"/>
    <n v="34"/>
    <n v="963"/>
    <n v="-1876.5190254914196"/>
    <n v="9449.9214833401493"/>
    <n v="7573.4024578487297"/>
    <s v="female"/>
    <n v="18"/>
    <n v="23"/>
    <n v="28"/>
    <n v="3"/>
    <x v="0"/>
    <n v="2.1079512671590801"/>
    <s v="supplier_2"/>
    <x v="2"/>
    <n v="26"/>
    <n v="671"/>
    <n v="19"/>
    <n v="45.531364237162101"/>
    <s v="fail"/>
    <n v="380.55333792433498"/>
    <n v="3.8055333792433501"/>
    <x v="1"/>
    <s v="route_c"/>
    <n v="403.80897424817999"/>
  </r>
  <r>
    <x v="1"/>
    <x v="37"/>
    <n v="23.3998447526143"/>
    <n v="5"/>
    <n v="963"/>
    <n v="-20095.710566297548"/>
    <n v="22534.05049676757"/>
    <n v="2438.3399304700201"/>
    <s v="female"/>
    <n v="25"/>
    <n v="8"/>
    <n v="21"/>
    <n v="9"/>
    <x v="1"/>
    <n v="1.53265527359043"/>
    <s v="supplier_3"/>
    <x v="1"/>
    <n v="24"/>
    <n v="867"/>
    <n v="15"/>
    <n v="34.343277465075303"/>
    <s v="pending"/>
    <n v="261.02880848481101"/>
    <n v="2.61028808484811"/>
    <x v="3"/>
    <s v="route_a"/>
    <n v="183.932968043594"/>
  </r>
  <r>
    <x v="2"/>
    <x v="38"/>
    <n v="52.075930682707799"/>
    <n v="75"/>
    <n v="705"/>
    <n v="-27021.213091090569"/>
    <n v="36713.531131308999"/>
    <n v="9692.3180402184298"/>
    <s v="non-binary"/>
    <n v="69"/>
    <n v="1"/>
    <n v="88"/>
    <n v="5"/>
    <x v="0"/>
    <n v="9.2359314372492207"/>
    <s v="supplier_5"/>
    <x v="0"/>
    <n v="10"/>
    <n v="841"/>
    <n v="12"/>
    <n v="5.9306936455283097"/>
    <s v="pending"/>
    <n v="61.332689916450697"/>
    <n v="0.613326899164507"/>
    <x v="1"/>
    <s v="route_b"/>
    <n v="339.67286994860598"/>
  </r>
  <r>
    <x v="1"/>
    <x v="39"/>
    <n v="19.127477265823199"/>
    <n v="26"/>
    <n v="176"/>
    <n v="-1453.970335684123"/>
    <n v="3366.4359987848829"/>
    <n v="1912.4656631007599"/>
    <s v="female"/>
    <n v="78"/>
    <n v="29"/>
    <n v="34"/>
    <n v="3"/>
    <x v="1"/>
    <n v="5.5625037788303802"/>
    <s v="supplier_2"/>
    <x v="1"/>
    <n v="30"/>
    <n v="791"/>
    <n v="6"/>
    <n v="9.0058074287816403"/>
    <s v="fail"/>
    <n v="145.19722039968099"/>
    <n v="1.4519722039968099"/>
    <x v="1"/>
    <s v="route_b"/>
    <n v="653.67299455203295"/>
  </r>
  <r>
    <x v="1"/>
    <x v="40"/>
    <n v="80.541424170940303"/>
    <n v="97"/>
    <n v="933"/>
    <n v="-69420.189401031035"/>
    <n v="75145.148751487301"/>
    <n v="5724.9593504562599"/>
    <s v="female"/>
    <n v="90"/>
    <n v="20"/>
    <n v="39"/>
    <n v="8"/>
    <x v="2"/>
    <n v="7.2295951397364702"/>
    <s v="supplier_1"/>
    <x v="1"/>
    <n v="18"/>
    <n v="793"/>
    <n v="1"/>
    <n v="88.179407104217404"/>
    <s v="pending"/>
    <n v="421.32694305865596"/>
    <n v="4.2132694305865597"/>
    <x v="0"/>
    <s v="route_a"/>
    <n v="529.80872398069096"/>
  </r>
  <r>
    <x v="1"/>
    <x v="41"/>
    <n v="99.113291615317095"/>
    <n v="35"/>
    <n v="556"/>
    <n v="-49585.78487910534"/>
    <n v="55106.990138116307"/>
    <n v="5521.2052590109697"/>
    <s v="female"/>
    <n v="64"/>
    <n v="19"/>
    <n v="38"/>
    <n v="8"/>
    <x v="0"/>
    <n v="5.7732637437666501"/>
    <s v="supplier_4"/>
    <x v="4"/>
    <n v="18"/>
    <n v="892"/>
    <n v="7"/>
    <n v="95.332064548772493"/>
    <s v="fail"/>
    <n v="4.5302262398259598"/>
    <n v="4.5302262398259602E-2"/>
    <x v="3"/>
    <s v="route_a"/>
    <n v="275.52437113130901"/>
  </r>
  <r>
    <x v="1"/>
    <x v="42"/>
    <n v="46.529167614516702"/>
    <n v="98"/>
    <n v="155"/>
    <n v="-5372.4115543933285"/>
    <n v="7212.0209802500885"/>
    <n v="1839.60942585676"/>
    <s v="female"/>
    <n v="22"/>
    <n v="27"/>
    <n v="57"/>
    <n v="4"/>
    <x v="2"/>
    <n v="7.5262483268515004"/>
    <s v="supplier_5"/>
    <x v="3"/>
    <n v="26"/>
    <n v="179"/>
    <n v="7"/>
    <n v="96.422820639571796"/>
    <s v="fail"/>
    <n v="493.92552886209398"/>
    <n v="4.9392552886209398"/>
    <x v="0"/>
    <s v="route_a"/>
    <n v="635.65712050199102"/>
  </r>
  <r>
    <x v="0"/>
    <x v="43"/>
    <n v="11.7432717763092"/>
    <n v="6"/>
    <n v="598"/>
    <n v="-1285.0509231138813"/>
    <n v="7022.4765222329015"/>
    <n v="5737.4255991190203"/>
    <s v="unknown"/>
    <n v="36"/>
    <n v="29"/>
    <n v="85"/>
    <n v="9"/>
    <x v="0"/>
    <n v="3.6940212683884499"/>
    <s v="supplier_5"/>
    <x v="0"/>
    <n v="1"/>
    <n v="206"/>
    <n v="23"/>
    <n v="26.2773659573324"/>
    <s v="pending"/>
    <n v="37.230476798509699"/>
    <n v="0.37230476798509698"/>
    <x v="1"/>
    <s v="route_a"/>
    <n v="716.04411975933999"/>
  </r>
  <r>
    <x v="2"/>
    <x v="44"/>
    <n v="51.355790913110297"/>
    <n v="34"/>
    <n v="919"/>
    <n v="-40043.685799712854"/>
    <n v="47195.971849148365"/>
    <n v="7152.28604943551"/>
    <s v="female"/>
    <n v="13"/>
    <n v="19"/>
    <n v="72"/>
    <n v="6"/>
    <x v="2"/>
    <n v="7.5774496573766896"/>
    <s v="supplier_2"/>
    <x v="2"/>
    <n v="7"/>
    <n v="834"/>
    <n v="18"/>
    <n v="22.554106620887701"/>
    <s v="fail"/>
    <n v="296.26263204548803"/>
    <n v="2.9626263204548802"/>
    <x v="2"/>
    <s v="route_a"/>
    <n v="610.45326961922694"/>
  </r>
  <r>
    <x v="0"/>
    <x v="45"/>
    <n v="33.784138033065503"/>
    <n v="1"/>
    <n v="24"/>
    <n v="4457.1374947169479"/>
    <n v="810.81931279357207"/>
    <n v="5267.9568075105199"/>
    <s v="male"/>
    <n v="93"/>
    <n v="7"/>
    <n v="52"/>
    <n v="6"/>
    <x v="0"/>
    <n v="5.2151550087119096"/>
    <s v="supplier_2"/>
    <x v="4"/>
    <n v="25"/>
    <n v="794"/>
    <n v="25"/>
    <n v="66.312544439991598"/>
    <s v="pass"/>
    <n v="321.96046120841004"/>
    <n v="3.2196046120841002"/>
    <x v="2"/>
    <s v="route_a"/>
    <n v="495.30569702847299"/>
  </r>
  <r>
    <x v="0"/>
    <x v="46"/>
    <n v="27.082207199888899"/>
    <n v="75"/>
    <n v="859"/>
    <n v="-20706.848624070975"/>
    <n v="23263.615984704564"/>
    <n v="2556.7673606335902"/>
    <s v="non-binary"/>
    <n v="92"/>
    <n v="29"/>
    <n v="6"/>
    <n v="8"/>
    <x v="0"/>
    <n v="4.0709558370840799"/>
    <s v="supplier_3"/>
    <x v="4"/>
    <n v="18"/>
    <n v="870"/>
    <n v="23"/>
    <n v="77.322353211051606"/>
    <s v="pending"/>
    <n v="364.86105925362"/>
    <n v="3.6486105925361998"/>
    <x v="0"/>
    <s v="route_b"/>
    <n v="380.43593711196399"/>
  </r>
  <r>
    <x v="1"/>
    <x v="47"/>
    <n v="95.712135880936003"/>
    <n v="93"/>
    <n v="910"/>
    <n v="-80008.569401717585"/>
    <n v="87098.043651651766"/>
    <n v="7089.4742499341801"/>
    <s v="male"/>
    <n v="4"/>
    <n v="15"/>
    <n v="51"/>
    <n v="9"/>
    <x v="0"/>
    <n v="8.9787507559499709"/>
    <s v="supplier_1"/>
    <x v="1"/>
    <n v="10"/>
    <n v="964"/>
    <n v="20"/>
    <n v="19.7129929112936"/>
    <s v="pending"/>
    <n v="38.057358671321303"/>
    <n v="0.38057358671321301"/>
    <x v="2"/>
    <s v="route_a"/>
    <n v="581.60235505058597"/>
  </r>
  <r>
    <x v="0"/>
    <x v="48"/>
    <n v="76.035544426891704"/>
    <n v="28"/>
    <n v="29"/>
    <n v="5192.0402162073206"/>
    <n v="2205.0307883798596"/>
    <n v="7397.0710045871801"/>
    <s v="non-binary"/>
    <n v="30"/>
    <n v="16"/>
    <n v="9"/>
    <n v="3"/>
    <x v="2"/>
    <n v="7.0958331565551296"/>
    <s v="supplier_2"/>
    <x v="0"/>
    <n v="9"/>
    <n v="109"/>
    <n v="18"/>
    <n v="23.126363582464698"/>
    <s v="fail"/>
    <n v="169.81125407144"/>
    <n v="1.6981125407144"/>
    <x v="2"/>
    <s v="route_b"/>
    <n v="768.65191395437"/>
  </r>
  <r>
    <x v="2"/>
    <x v="49"/>
    <n v="78.897913205639995"/>
    <n v="19"/>
    <n v="99"/>
    <n v="190.71979916064083"/>
    <n v="7810.8934073583596"/>
    <n v="8001.6132065190004"/>
    <s v="unknown"/>
    <n v="97"/>
    <n v="24"/>
    <n v="9"/>
    <n v="6"/>
    <x v="2"/>
    <n v="2.5056210329009101"/>
    <s v="supplier_5"/>
    <x v="2"/>
    <n v="28"/>
    <n v="177"/>
    <n v="28"/>
    <n v="14.1478154439792"/>
    <s v="pass"/>
    <n v="282.58139854001303"/>
    <n v="2.8258139854001301"/>
    <x v="2"/>
    <s v="route_a"/>
    <n v="336.89016851997701"/>
  </r>
  <r>
    <x v="2"/>
    <x v="50"/>
    <n v="14.203484264803"/>
    <n v="91"/>
    <n v="633"/>
    <n v="-3079.9201499514102"/>
    <n v="8990.8055396202999"/>
    <n v="5910.8853896688897"/>
    <s v="female"/>
    <n v="31"/>
    <n v="23"/>
    <n v="82"/>
    <n v="10"/>
    <x v="1"/>
    <n v="6.2478609149759903"/>
    <s v="supplier_2"/>
    <x v="2"/>
    <n v="20"/>
    <n v="306"/>
    <n v="21"/>
    <n v="45.178757924634503"/>
    <s v="fail"/>
    <n v="475.480080467118"/>
    <n v="4.7548008046711798"/>
    <x v="2"/>
    <s v="route_b"/>
    <n v="496.24865029194001"/>
  </r>
  <r>
    <x v="0"/>
    <x v="51"/>
    <n v="26.700760972461701"/>
    <n v="61"/>
    <n v="154"/>
    <n v="5754.5482682205875"/>
    <n v="4111.9171897591023"/>
    <n v="9866.4654579796897"/>
    <s v="male"/>
    <n v="100"/>
    <n v="4"/>
    <n v="52"/>
    <n v="1"/>
    <x v="1"/>
    <n v="4.78300055794766"/>
    <s v="supplier_5"/>
    <x v="3"/>
    <n v="18"/>
    <n v="673"/>
    <n v="28"/>
    <n v="14.190328344569901"/>
    <s v="pending"/>
    <n v="177.29511720835501"/>
    <n v="1.77295117208355"/>
    <x v="0"/>
    <s v="route_a"/>
    <n v="694.98231757944495"/>
  </r>
  <r>
    <x v="1"/>
    <x v="52"/>
    <n v="98.031829656465007"/>
    <n v="1"/>
    <n v="820"/>
    <n v="-70950.337709389176"/>
    <n v="80386.100318301309"/>
    <n v="9435.7626089121295"/>
    <s v="male"/>
    <n v="64"/>
    <n v="11"/>
    <n v="11"/>
    <n v="1"/>
    <x v="0"/>
    <n v="8.6310521797689397"/>
    <s v="supplier_1"/>
    <x v="0"/>
    <n v="10"/>
    <n v="727"/>
    <n v="27"/>
    <n v="9.1668491485971497"/>
    <s v="pending"/>
    <n v="212.24716191438202"/>
    <n v="2.1224716191438202"/>
    <x v="1"/>
    <s v="route_c"/>
    <n v="602.89849883838303"/>
  </r>
  <r>
    <x v="1"/>
    <x v="53"/>
    <n v="30.3414707112142"/>
    <n v="93"/>
    <n v="242"/>
    <n v="889.69891731198277"/>
    <n v="7342.6359121138366"/>
    <n v="8232.3348294258194"/>
    <s v="male"/>
    <n v="96"/>
    <n v="25"/>
    <n v="54"/>
    <n v="3"/>
    <x v="0"/>
    <n v="1.0134865660958901"/>
    <s v="supplier_1"/>
    <x v="2"/>
    <n v="1"/>
    <n v="631"/>
    <n v="17"/>
    <n v="83.344058991677898"/>
    <s v="pending"/>
    <n v="141.03475760760199"/>
    <n v="1.41034757607602"/>
    <x v="1"/>
    <s v="route_b"/>
    <n v="750.73784066827"/>
  </r>
  <r>
    <x v="0"/>
    <x v="54"/>
    <n v="31.1462431602408"/>
    <n v="11"/>
    <n v="622"/>
    <n v="-13284.941765728927"/>
    <n v="19372.963245669776"/>
    <n v="6088.0214799408504"/>
    <s v="non-binary"/>
    <n v="33"/>
    <n v="22"/>
    <n v="61"/>
    <n v="3"/>
    <x v="0"/>
    <n v="4.3051034712876302"/>
    <s v="supplier_1"/>
    <x v="1"/>
    <n v="26"/>
    <n v="497"/>
    <n v="29"/>
    <n v="30.186023375822501"/>
    <s v="pass"/>
    <n v="247.87719755397401"/>
    <n v="2.4787719755397402"/>
    <x v="0"/>
    <s v="route_b"/>
    <n v="814.06999658218695"/>
  </r>
  <r>
    <x v="0"/>
    <x v="55"/>
    <n v="79.855058340789398"/>
    <n v="16"/>
    <n v="701"/>
    <n v="-53052.720726589556"/>
    <n v="55978.395896893366"/>
    <n v="2925.6751703038099"/>
    <s v="male"/>
    <n v="97"/>
    <n v="11"/>
    <n v="11"/>
    <n v="5"/>
    <x v="1"/>
    <n v="5.0143649550309002"/>
    <s v="supplier_2"/>
    <x v="2"/>
    <n v="27"/>
    <n v="918"/>
    <n v="5"/>
    <n v="30.323545256616502"/>
    <s v="fail"/>
    <n v="454.891965939638"/>
    <n v="4.5489196593963799"/>
    <x v="3"/>
    <s v="route_b"/>
    <n v="323.01292795247798"/>
  </r>
  <r>
    <x v="1"/>
    <x v="56"/>
    <n v="20.9863860370433"/>
    <n v="90"/>
    <n v="93"/>
    <n v="2815.2865828991025"/>
    <n v="1951.733901445027"/>
    <n v="4767.0204843441297"/>
    <s v="non-binary"/>
    <n v="25"/>
    <n v="23"/>
    <n v="83"/>
    <n v="5"/>
    <x v="2"/>
    <n v="1.77442971407173"/>
    <s v="supplier_1"/>
    <x v="0"/>
    <n v="24"/>
    <n v="826"/>
    <n v="28"/>
    <n v="12.8362845728327"/>
    <s v="pass"/>
    <n v="117.37554953874501"/>
    <n v="1.1737554953874501"/>
    <x v="1"/>
    <s v="route_b"/>
    <n v="832.210808706021"/>
  </r>
  <r>
    <x v="0"/>
    <x v="57"/>
    <n v="49.263205350734097"/>
    <n v="65"/>
    <n v="227"/>
    <n v="-9576.8807142242404"/>
    <n v="11182.747614616641"/>
    <n v="1605.8669003924001"/>
    <s v="unknown"/>
    <n v="5"/>
    <n v="18"/>
    <n v="51"/>
    <n v="1"/>
    <x v="0"/>
    <n v="9.1605585353818704"/>
    <s v="supplier_2"/>
    <x v="2"/>
    <n v="21"/>
    <n v="588"/>
    <n v="25"/>
    <n v="67.779622987078099"/>
    <s v="pending"/>
    <n v="251.11748302127"/>
    <n v="2.5111748302126999"/>
    <x v="2"/>
    <s v="route_a"/>
    <n v="482.19123860252802"/>
  </r>
  <r>
    <x v="1"/>
    <x v="58"/>
    <n v="59.841561377289302"/>
    <n v="81"/>
    <n v="896"/>
    <n v="-51596.88918371412"/>
    <n v="53618.038994051218"/>
    <n v="2021.1498103371"/>
    <s v="non-binary"/>
    <n v="10"/>
    <n v="5"/>
    <n v="44"/>
    <n v="7"/>
    <x v="1"/>
    <n v="4.9384385647120901"/>
    <s v="supplier_3"/>
    <x v="2"/>
    <n v="18"/>
    <n v="396"/>
    <n v="7"/>
    <n v="65.047415094691402"/>
    <s v="fail"/>
    <n v="173.03747198591898"/>
    <n v="1.7303747198591899"/>
    <x v="0"/>
    <s v="route_b"/>
    <n v="110.364335231364"/>
  </r>
  <r>
    <x v="2"/>
    <x v="59"/>
    <n v="63.828398347710902"/>
    <n v="30"/>
    <n v="484"/>
    <n v="-29831.326277278797"/>
    <n v="30892.944800292076"/>
    <n v="1061.6185230132801"/>
    <s v="non-binary"/>
    <n v="100"/>
    <n v="16"/>
    <n v="26"/>
    <n v="7"/>
    <x v="0"/>
    <n v="7.2937225968677204"/>
    <s v="supplier_1"/>
    <x v="1"/>
    <n v="11"/>
    <n v="176"/>
    <n v="4"/>
    <n v="1.90076224351945"/>
    <s v="fail"/>
    <n v="44.719401546382301"/>
    <n v="0.44719401546382298"/>
    <x v="1"/>
    <s v="route_a"/>
    <n v="312.57427361009297"/>
  </r>
  <r>
    <x v="1"/>
    <x v="60"/>
    <n v="17.028027920188698"/>
    <n v="16"/>
    <n v="380"/>
    <n v="2393.4337399147244"/>
    <n v="6470.6506096717058"/>
    <n v="8864.0843495864301"/>
    <s v="female"/>
    <n v="41"/>
    <n v="27"/>
    <n v="72"/>
    <n v="8"/>
    <x v="2"/>
    <n v="4.3813681581023101"/>
    <s v="supplier_4"/>
    <x v="0"/>
    <n v="29"/>
    <n v="929"/>
    <n v="24"/>
    <n v="87.213057815135599"/>
    <s v="fail"/>
    <n v="285.30906166490502"/>
    <n v="2.8530906166490499"/>
    <x v="2"/>
    <s v="route_a"/>
    <n v="430.16909697513597"/>
  </r>
  <r>
    <x v="0"/>
    <x v="61"/>
    <n v="52.028749903294901"/>
    <n v="23"/>
    <n v="117"/>
    <n v="798.22561221074648"/>
    <n v="6087.3637386855034"/>
    <n v="6885.5893508962499"/>
    <s v="unknown"/>
    <n v="32"/>
    <n v="23"/>
    <n v="36"/>
    <n v="7"/>
    <x v="2"/>
    <n v="9.0303404225219399"/>
    <s v="supplier_4"/>
    <x v="1"/>
    <n v="14"/>
    <n v="480"/>
    <n v="12"/>
    <n v="78.702393968878894"/>
    <s v="fail"/>
    <n v="436.74705382050502"/>
    <n v="4.3674705382050503"/>
    <x v="1"/>
    <s v="route_a"/>
    <n v="164.366528243419"/>
  </r>
  <r>
    <x v="2"/>
    <x v="62"/>
    <n v="72.796353955587307"/>
    <n v="89"/>
    <n v="270"/>
    <n v="-15755.268734279354"/>
    <n v="19655.015568008574"/>
    <n v="3899.7468337292198"/>
    <s v="unknown"/>
    <n v="86"/>
    <n v="2"/>
    <n v="40"/>
    <n v="7"/>
    <x v="2"/>
    <n v="7.2917013887767697"/>
    <s v="supplier_2"/>
    <x v="0"/>
    <n v="13"/>
    <n v="751"/>
    <n v="14"/>
    <n v="21.048642725168602"/>
    <s v="pass"/>
    <n v="187.400140404437"/>
    <n v="1.87400140404437"/>
    <x v="3"/>
    <s v="route_c"/>
    <n v="320.84651575911101"/>
  </r>
  <r>
    <x v="1"/>
    <x v="63"/>
    <n v="13.0173767852878"/>
    <n v="55"/>
    <n v="246"/>
    <n v="1054.6744516694212"/>
    <n v="3202.2746891807988"/>
    <n v="4256.9491408502199"/>
    <s v="non-binary"/>
    <n v="54"/>
    <n v="19"/>
    <n v="10"/>
    <n v="4"/>
    <x v="1"/>
    <n v="2.45793352798733"/>
    <s v="supplier_3"/>
    <x v="3"/>
    <n v="18"/>
    <n v="736"/>
    <n v="10"/>
    <n v="20.075003975630398"/>
    <s v="pending"/>
    <n v="363.284329038213"/>
    <n v="3.6328432903821302"/>
    <x v="3"/>
    <s v="route_a"/>
    <n v="687.28617786641701"/>
  </r>
  <r>
    <x v="1"/>
    <x v="64"/>
    <n v="89.634095608135297"/>
    <n v="11"/>
    <n v="134"/>
    <n v="-3552.2379331229586"/>
    <n v="12010.968811490129"/>
    <n v="8458.7308783671706"/>
    <s v="female"/>
    <n v="73"/>
    <n v="27"/>
    <n v="75"/>
    <n v="6"/>
    <x v="2"/>
    <n v="4.5853534681946497"/>
    <s v="supplier_1"/>
    <x v="2"/>
    <n v="17"/>
    <n v="328"/>
    <n v="6"/>
    <n v="8.6930424258772803"/>
    <s v="fail"/>
    <n v="15.948631471751401"/>
    <n v="0.15948631471751401"/>
    <x v="1"/>
    <s v="route_c"/>
    <n v="771.225084681157"/>
  </r>
  <r>
    <x v="1"/>
    <x v="65"/>
    <n v="33.697717206643098"/>
    <n v="72"/>
    <n v="457"/>
    <n v="-7045.2770769539056"/>
    <n v="15399.856763435895"/>
    <n v="8354.5796864819895"/>
    <s v="male"/>
    <n v="57"/>
    <n v="24"/>
    <n v="54"/>
    <n v="8"/>
    <x v="2"/>
    <n v="6.5805413478845898"/>
    <s v="supplier_5"/>
    <x v="1"/>
    <n v="16"/>
    <n v="358"/>
    <n v="21"/>
    <n v="1.59722274305067"/>
    <s v="fail"/>
    <n v="491.10959548423301"/>
    <n v="4.9110959548423301"/>
    <x v="2"/>
    <s v="route_c"/>
    <n v="555.85910367174301"/>
  </r>
  <r>
    <x v="1"/>
    <x v="66"/>
    <n v="26.034869773962001"/>
    <n v="52"/>
    <n v="704"/>
    <n v="-9960.8267028490991"/>
    <n v="18328.548320869249"/>
    <n v="8367.7216180201503"/>
    <s v="female"/>
    <n v="13"/>
    <n v="17"/>
    <n v="19"/>
    <n v="8"/>
    <x v="1"/>
    <n v="2.2161427287713602"/>
    <s v="supplier_5"/>
    <x v="1"/>
    <n v="24"/>
    <n v="867"/>
    <n v="28"/>
    <n v="42.084436738309897"/>
    <s v="fail"/>
    <n v="344.80632883402598"/>
    <n v="3.44806328834026"/>
    <x v="0"/>
    <s v="route_a"/>
    <n v="393.84334857842703"/>
  </r>
  <r>
    <x v="1"/>
    <x v="67"/>
    <n v="87.755432354001002"/>
    <n v="16"/>
    <n v="513"/>
    <n v="-35544.738765094182"/>
    <n v="45018.536797602515"/>
    <n v="9473.7980325083299"/>
    <s v="unknown"/>
    <n v="12"/>
    <n v="9"/>
    <n v="71"/>
    <n v="9"/>
    <x v="2"/>
    <n v="9.1478115447106294"/>
    <s v="supplier_1"/>
    <x v="0"/>
    <n v="10"/>
    <n v="198"/>
    <n v="11"/>
    <n v="7.0578761469782298"/>
    <s v="pass"/>
    <n v="13.1955444311814"/>
    <n v="0.131955444311814"/>
    <x v="3"/>
    <s v="route_c"/>
    <n v="169.27180138478599"/>
  </r>
  <r>
    <x v="0"/>
    <x v="68"/>
    <n v="37.931812382790298"/>
    <n v="29"/>
    <n v="163"/>
    <n v="-2632.6669856138287"/>
    <n v="6182.8854183948188"/>
    <n v="3550.21843278099"/>
    <s v="non-binary"/>
    <n v="0"/>
    <n v="8"/>
    <n v="58"/>
    <n v="8"/>
    <x v="0"/>
    <n v="1.19425186488499"/>
    <s v="supplier_2"/>
    <x v="3"/>
    <n v="2"/>
    <n v="375"/>
    <n v="18"/>
    <n v="97.113581563462205"/>
    <s v="fail"/>
    <n v="198.34678721741801"/>
    <n v="1.9834678721741801"/>
    <x v="2"/>
    <s v="route_a"/>
    <n v="299.70630311810299"/>
  </r>
  <r>
    <x v="1"/>
    <x v="69"/>
    <n v="54.865528517069698"/>
    <n v="62"/>
    <n v="511"/>
    <n v="-26283.903984738499"/>
    <n v="28036.285072222618"/>
    <n v="1752.3810874841199"/>
    <s v="non-binary"/>
    <n v="95"/>
    <n v="1"/>
    <n v="27"/>
    <n v="3"/>
    <x v="0"/>
    <n v="9.7052867901203399"/>
    <s v="supplier_4"/>
    <x v="1"/>
    <n v="9"/>
    <n v="862"/>
    <n v="7"/>
    <n v="77.627765812748095"/>
    <s v="pending"/>
    <n v="136.23879886491"/>
    <n v="1.3623879886490999"/>
    <x v="1"/>
    <s v="route_a"/>
    <n v="207.66320620857499"/>
  </r>
  <r>
    <x v="0"/>
    <x v="70"/>
    <n v="47.914541824058702"/>
    <n v="90"/>
    <n v="32"/>
    <n v="5481.6226488335014"/>
    <n v="1533.2653383698785"/>
    <n v="7014.8879872033804"/>
    <s v="female"/>
    <n v="10"/>
    <n v="12"/>
    <n v="22"/>
    <n v="4"/>
    <x v="0"/>
    <n v="6.3157177546007199"/>
    <s v="supplier_1"/>
    <x v="3"/>
    <n v="22"/>
    <n v="775"/>
    <n v="16"/>
    <n v="11.440781823761199"/>
    <s v="pass"/>
    <n v="183.05755986122301"/>
    <n v="1.8305755986122301"/>
    <x v="0"/>
    <s v="route_c"/>
    <n v="183.27289874871099"/>
  </r>
  <r>
    <x v="2"/>
    <x v="71"/>
    <n v="6.3815331627479601"/>
    <n v="14"/>
    <n v="637"/>
    <n v="4115.3004607549892"/>
    <n v="4065.0366246704507"/>
    <n v="8180.3370854254399"/>
    <s v="female"/>
    <n v="76"/>
    <n v="2"/>
    <n v="26"/>
    <n v="6"/>
    <x v="1"/>
    <n v="9.2281903170525101"/>
    <s v="supplier_2"/>
    <x v="3"/>
    <n v="2"/>
    <n v="258"/>
    <n v="10"/>
    <n v="30.661677477859499"/>
    <s v="pending"/>
    <n v="207.87506078749601"/>
    <n v="2.07875060787496"/>
    <x v="0"/>
    <s v="route_a"/>
    <n v="405.167067888855"/>
  </r>
  <r>
    <x v="2"/>
    <x v="72"/>
    <n v="90.204427520528"/>
    <n v="88"/>
    <n v="478"/>
    <n v="-40484.594373500135"/>
    <n v="43117.716354812386"/>
    <n v="2633.1219813122498"/>
    <s v="non-binary"/>
    <n v="57"/>
    <n v="29"/>
    <n v="77"/>
    <n v="9"/>
    <x v="1"/>
    <n v="6.5996141596895397"/>
    <s v="supplier_1"/>
    <x v="3"/>
    <n v="21"/>
    <n v="152"/>
    <n v="11"/>
    <n v="55.760492895244198"/>
    <s v="pending"/>
    <n v="321.33296074382997"/>
    <n v="3.2133296074383"/>
    <x v="2"/>
    <s v="route_b"/>
    <n v="677.94456984618296"/>
  </r>
  <r>
    <x v="2"/>
    <x v="73"/>
    <n v="83.851017681304597"/>
    <n v="41"/>
    <n v="375"/>
    <n v="-23533.244714348544"/>
    <n v="31444.131630489224"/>
    <n v="7910.8869161406801"/>
    <s v="male"/>
    <n v="17"/>
    <n v="25"/>
    <n v="66"/>
    <n v="5"/>
    <x v="0"/>
    <n v="1.5129368369160701"/>
    <s v="supplier_4"/>
    <x v="4"/>
    <n v="13"/>
    <n v="444"/>
    <n v="4"/>
    <n v="46.870238797617098"/>
    <s v="fail"/>
    <n v="462.05460645137003"/>
    <n v="4.6205460645137002"/>
    <x v="0"/>
    <s v="route_a"/>
    <n v="866.472800129657"/>
  </r>
  <r>
    <x v="0"/>
    <x v="74"/>
    <n v="3.1700114135661499"/>
    <n v="64"/>
    <n v="904"/>
    <n v="2844.2549781054804"/>
    <n v="2865.6903178637995"/>
    <n v="5709.9452959692799"/>
    <s v="female"/>
    <n v="41"/>
    <n v="6"/>
    <n v="1"/>
    <n v="5"/>
    <x v="1"/>
    <n v="5.2376546500374399"/>
    <s v="supplier_4"/>
    <x v="2"/>
    <n v="1"/>
    <n v="919"/>
    <n v="9"/>
    <n v="80.580852156447804"/>
    <s v="fail"/>
    <n v="39.661272410993497"/>
    <n v="0.39661272410993498"/>
    <x v="2"/>
    <s v="route_a"/>
    <n v="341.55265678322297"/>
  </r>
  <r>
    <x v="1"/>
    <x v="75"/>
    <n v="92.996884233970604"/>
    <n v="29"/>
    <n v="106"/>
    <n v="-7968.5961390215534"/>
    <n v="9857.6697288008836"/>
    <n v="1889.07358977933"/>
    <s v="non-binary"/>
    <n v="16"/>
    <n v="20"/>
    <n v="56"/>
    <n v="10"/>
    <x v="2"/>
    <n v="2.47389776104546"/>
    <s v="supplier_1"/>
    <x v="4"/>
    <n v="25"/>
    <n v="759"/>
    <n v="11"/>
    <n v="48.064782640006499"/>
    <s v="pass"/>
    <n v="203.00690886687499"/>
    <n v="2.0300690886687498"/>
    <x v="1"/>
    <s v="route_c"/>
    <n v="873.12964801765099"/>
  </r>
  <r>
    <x v="0"/>
    <x v="76"/>
    <n v="69.108799547430294"/>
    <n v="23"/>
    <n v="241"/>
    <n v="-11326.844706632954"/>
    <n v="16655.220690930702"/>
    <n v="5328.3759842977497"/>
    <s v="male"/>
    <n v="38"/>
    <n v="1"/>
    <n v="22"/>
    <n v="10"/>
    <x v="1"/>
    <n v="7.0545383368369201"/>
    <s v="supplier_2"/>
    <x v="3"/>
    <n v="25"/>
    <n v="985"/>
    <n v="24"/>
    <n v="64.323597795600193"/>
    <s v="pending"/>
    <n v="218.00374515822099"/>
    <n v="2.1800374515822099"/>
    <x v="2"/>
    <s v="route_a"/>
    <n v="997.41345013319403"/>
  </r>
  <r>
    <x v="0"/>
    <x v="77"/>
    <n v="57.449742958971399"/>
    <n v="14"/>
    <n v="359"/>
    <n v="-18140.697544727944"/>
    <n v="20624.457722270734"/>
    <n v="2483.7601775427902"/>
    <s v="unknown"/>
    <n v="96"/>
    <n v="28"/>
    <n v="57"/>
    <n v="4"/>
    <x v="0"/>
    <n v="6.7809466256178901"/>
    <s v="supplier_1"/>
    <x v="1"/>
    <n v="26"/>
    <n v="334"/>
    <n v="5"/>
    <n v="42.952444748991802"/>
    <s v="pass"/>
    <n v="305.51418183075396"/>
    <n v="3.0551418183075398"/>
    <x v="0"/>
    <s v="route_b"/>
    <n v="852.56809891984994"/>
  </r>
  <r>
    <x v="0"/>
    <x v="78"/>
    <n v="6.30688317611191"/>
    <n v="50"/>
    <n v="946"/>
    <n v="-4673.8530666641173"/>
    <n v="5966.3114846018671"/>
    <n v="1292.45841793775"/>
    <s v="unknown"/>
    <n v="5"/>
    <n v="4"/>
    <n v="51"/>
    <n v="5"/>
    <x v="0"/>
    <n v="8.4670497708619905"/>
    <s v="supplier_5"/>
    <x v="0"/>
    <n v="25"/>
    <n v="858"/>
    <n v="21"/>
    <n v="71.126514720403307"/>
    <s v="pending"/>
    <n v="409.68813324704502"/>
    <n v="4.0968813324704501"/>
    <x v="3"/>
    <s v="route_c"/>
    <n v="323.59220343132199"/>
  </r>
  <r>
    <x v="0"/>
    <x v="79"/>
    <n v="57.057031221103202"/>
    <n v="56"/>
    <n v="198"/>
    <n v="-3408.5689133513533"/>
    <n v="11297.292181778434"/>
    <n v="7888.7232684270803"/>
    <s v="non-binary"/>
    <n v="31"/>
    <n v="25"/>
    <n v="20"/>
    <n v="1"/>
    <x v="0"/>
    <n v="6.49632536429504"/>
    <s v="supplier_3"/>
    <x v="3"/>
    <n v="5"/>
    <n v="228"/>
    <n v="12"/>
    <n v="57.870902924036201"/>
    <s v="pending"/>
    <n v="16.587162748060798"/>
    <n v="0.16587162748060799"/>
    <x v="1"/>
    <s v="route_c"/>
    <n v="351.50421933503799"/>
  </r>
  <r>
    <x v="1"/>
    <x v="80"/>
    <n v="91.128318350444303"/>
    <n v="75"/>
    <n v="872"/>
    <n v="-70812.220918605381"/>
    <n v="79463.893601587435"/>
    <n v="8651.67268298206"/>
    <s v="unknown"/>
    <n v="39"/>
    <n v="14"/>
    <n v="41"/>
    <n v="2"/>
    <x v="2"/>
    <n v="2.8331846794189701"/>
    <s v="supplier_3"/>
    <x v="4"/>
    <n v="8"/>
    <n v="202"/>
    <n v="5"/>
    <n v="76.961228023819999"/>
    <s v="fail"/>
    <n v="284.96621985053298"/>
    <n v="2.8496621985053299"/>
    <x v="3"/>
    <s v="route_b"/>
    <n v="787.77985049434403"/>
  </r>
  <r>
    <x v="0"/>
    <x v="81"/>
    <n v="72.819206930318202"/>
    <n v="9"/>
    <n v="774"/>
    <n v="-51977.652764020429"/>
    <n v="56362.066164066287"/>
    <n v="4384.4134000458598"/>
    <s v="unknown"/>
    <n v="48"/>
    <n v="6"/>
    <n v="8"/>
    <n v="5"/>
    <x v="0"/>
    <n v="4.0662775015120403"/>
    <s v="supplier_3"/>
    <x v="2"/>
    <n v="28"/>
    <n v="698"/>
    <n v="1"/>
    <n v="19.789592941903599"/>
    <s v="pending"/>
    <n v="254.75471215487099"/>
    <n v="2.54754712154871"/>
    <x v="2"/>
    <s v="route_b"/>
    <n v="276.77833594679799"/>
  </r>
  <r>
    <x v="1"/>
    <x v="82"/>
    <n v="17.034930739467899"/>
    <n v="13"/>
    <n v="336"/>
    <n v="-2780.3548608517644"/>
    <n v="5723.7367284612146"/>
    <n v="2943.3818676094502"/>
    <s v="unknown"/>
    <n v="42"/>
    <n v="19"/>
    <n v="72"/>
    <n v="1"/>
    <x v="1"/>
    <n v="4.7081818735419301"/>
    <s v="supplier_2"/>
    <x v="0"/>
    <n v="6"/>
    <n v="955"/>
    <n v="26"/>
    <n v="4.4652784349432402"/>
    <s v="pending"/>
    <n v="413.78770486223505"/>
    <n v="4.1378770486223502"/>
    <x v="0"/>
    <s v="route_c"/>
    <n v="589.97855562804"/>
  </r>
  <r>
    <x v="0"/>
    <x v="83"/>
    <n v="68.911246211606297"/>
    <n v="82"/>
    <n v="663"/>
    <n v="-43276.401606184489"/>
    <n v="45688.156238294978"/>
    <n v="2411.7546321104901"/>
    <s v="unknown"/>
    <n v="65"/>
    <n v="24"/>
    <n v="7"/>
    <n v="8"/>
    <x v="0"/>
    <n v="4.94983957799694"/>
    <s v="supplier_1"/>
    <x v="3"/>
    <n v="20"/>
    <n v="443"/>
    <n v="5"/>
    <n v="97.730593800533001"/>
    <s v="fail"/>
    <n v="77.300613406724707"/>
    <n v="0.77300613406724705"/>
    <x v="0"/>
    <s v="route_a"/>
    <n v="682.97101822609295"/>
  </r>
  <r>
    <x v="0"/>
    <x v="84"/>
    <n v="89.104367292102197"/>
    <n v="99"/>
    <n v="618"/>
    <n v="-53018.208886670451"/>
    <n v="55066.49898651916"/>
    <n v="2048.2900998487098"/>
    <s v="unknown"/>
    <n v="73"/>
    <n v="26"/>
    <n v="80"/>
    <n v="10"/>
    <x v="1"/>
    <n v="8.3816156249226292"/>
    <s v="supplier_5"/>
    <x v="4"/>
    <n v="24"/>
    <n v="589"/>
    <n v="22"/>
    <n v="33.808636513209002"/>
    <s v="pass"/>
    <n v="484.34565771180405"/>
    <n v="4.8434565771180402"/>
    <x v="1"/>
    <s v="route_b"/>
    <n v="465.45700596368698"/>
  </r>
  <r>
    <x v="2"/>
    <x v="85"/>
    <n v="76.962994415193805"/>
    <n v="83"/>
    <n v="25"/>
    <n v="6760.5381988740046"/>
    <n v="1924.0748603798452"/>
    <n v="8684.6130592538502"/>
    <s v="female"/>
    <n v="15"/>
    <n v="18"/>
    <n v="66"/>
    <n v="2"/>
    <x v="2"/>
    <n v="8.2491687048717193"/>
    <s v="supplier_5"/>
    <x v="4"/>
    <n v="4"/>
    <n v="211"/>
    <n v="2"/>
    <n v="69.929345518672307"/>
    <s v="fail"/>
    <n v="137.442899974575"/>
    <n v="1.3744289997457499"/>
    <x v="0"/>
    <s v="route_b"/>
    <n v="842.68683000464102"/>
  </r>
  <r>
    <x v="1"/>
    <x v="86"/>
    <n v="19.9981769404042"/>
    <n v="18"/>
    <n v="223"/>
    <n v="-3230.0024291451564"/>
    <n v="4459.5934577101361"/>
    <n v="1229.59102856498"/>
    <s v="unknown"/>
    <n v="32"/>
    <n v="14"/>
    <n v="22"/>
    <n v="6"/>
    <x v="0"/>
    <n v="1.4543053101535499"/>
    <s v="supplier_1"/>
    <x v="0"/>
    <n v="4"/>
    <n v="569"/>
    <n v="18"/>
    <n v="74.608969995194599"/>
    <s v="pass"/>
    <n v="205.15129307662397"/>
    <n v="2.0515129307662399"/>
    <x v="2"/>
    <s v="route_a"/>
    <n v="264.25488983586598"/>
  </r>
  <r>
    <x v="0"/>
    <x v="87"/>
    <n v="80.414036650355698"/>
    <n v="24"/>
    <n v="79"/>
    <n v="-1218.8621942914106"/>
    <n v="6352.7088953781004"/>
    <n v="5133.8467010866898"/>
    <s v="male"/>
    <n v="5"/>
    <n v="7"/>
    <n v="55"/>
    <n v="10"/>
    <x v="1"/>
    <n v="6.5758037975485299"/>
    <s v="supplier_3"/>
    <x v="4"/>
    <n v="27"/>
    <n v="523"/>
    <n v="17"/>
    <n v="28.696996824143099"/>
    <s v="fail"/>
    <n v="369.37377878392698"/>
    <n v="3.6937377878392699"/>
    <x v="3"/>
    <s v="route_b"/>
    <n v="879.35921773492396"/>
  </r>
  <r>
    <x v="2"/>
    <x v="88"/>
    <n v="75.270406975724995"/>
    <n v="58"/>
    <n v="737"/>
    <n v="-46029.547908046341"/>
    <n v="55474.289941109324"/>
    <n v="9444.7420330629793"/>
    <s v="male"/>
    <n v="60"/>
    <n v="18"/>
    <n v="85"/>
    <n v="7"/>
    <x v="1"/>
    <n v="3.8012531329310701"/>
    <s v="supplier_2"/>
    <x v="0"/>
    <n v="21"/>
    <n v="953"/>
    <n v="11"/>
    <n v="68.1849190570411"/>
    <s v="pending"/>
    <n v="72.220440188293097"/>
    <n v="0.722204401882931"/>
    <x v="3"/>
    <s v="route_a"/>
    <n v="103.916247960704"/>
  </r>
  <r>
    <x v="2"/>
    <x v="89"/>
    <n v="97.760085581938597"/>
    <n v="10"/>
    <n v="134"/>
    <n v="-7175.1689011265416"/>
    <n v="13099.851467979772"/>
    <n v="5924.6825668532301"/>
    <s v="unknown"/>
    <n v="90"/>
    <n v="1"/>
    <n v="27"/>
    <n v="8"/>
    <x v="0"/>
    <n v="9.9298162452772498"/>
    <s v="supplier_1"/>
    <x v="1"/>
    <n v="23"/>
    <n v="370"/>
    <n v="11"/>
    <n v="46.603873381644398"/>
    <s v="pending"/>
    <n v="190.76657339590699"/>
    <n v="1.9076657339590699"/>
    <x v="2"/>
    <s v="route_b"/>
    <n v="517.49997392906005"/>
  </r>
  <r>
    <x v="1"/>
    <x v="90"/>
    <n v="13.881913501359101"/>
    <n v="56"/>
    <n v="320"/>
    <n v="5150.4212498453981"/>
    <n v="4442.2123204349118"/>
    <n v="9592.6335702803099"/>
    <s v="non-binary"/>
    <n v="66"/>
    <n v="18"/>
    <n v="96"/>
    <n v="7"/>
    <x v="0"/>
    <n v="7.6744307081126903"/>
    <s v="supplier_3"/>
    <x v="3"/>
    <n v="8"/>
    <n v="585"/>
    <n v="8"/>
    <n v="85.675963335797903"/>
    <s v="pass"/>
    <n v="121.93822244013801"/>
    <n v="1.2193822244013801"/>
    <x v="2"/>
    <s v="route_b"/>
    <n v="990.07847250581096"/>
  </r>
  <r>
    <x v="2"/>
    <x v="91"/>
    <n v="62.111965463961702"/>
    <n v="90"/>
    <n v="916"/>
    <n v="-54959.353571481326"/>
    <n v="56894.560364988916"/>
    <n v="1935.20679350759"/>
    <s v="male"/>
    <n v="98"/>
    <n v="22"/>
    <n v="85"/>
    <n v="7"/>
    <x v="0"/>
    <n v="7.4715140844011403"/>
    <s v="supplier_4"/>
    <x v="2"/>
    <n v="5"/>
    <n v="207"/>
    <n v="28"/>
    <n v="39.772882502339897"/>
    <s v="pending"/>
    <n v="62.600185820939402"/>
    <n v="0.62600185820939402"/>
    <x v="2"/>
    <s v="route_b"/>
    <n v="996.77831495062298"/>
  </r>
  <r>
    <x v="2"/>
    <x v="92"/>
    <n v="47.714233075820196"/>
    <n v="44"/>
    <n v="276"/>
    <n v="-11068.998574300444"/>
    <n v="13169.128328926374"/>
    <n v="2100.1297546259302"/>
    <s v="male"/>
    <n v="90"/>
    <n v="25"/>
    <n v="10"/>
    <n v="8"/>
    <x v="0"/>
    <n v="4.4695000261236002"/>
    <s v="supplier_2"/>
    <x v="0"/>
    <n v="4"/>
    <n v="671"/>
    <n v="29"/>
    <n v="62.612690395614301"/>
    <s v="pass"/>
    <n v="33.343182522473903"/>
    <n v="0.33343182522473902"/>
    <x v="2"/>
    <s v="route_b"/>
    <n v="230.092782536762"/>
  </r>
  <r>
    <x v="0"/>
    <x v="93"/>
    <n v="69.290831002905406"/>
    <n v="88"/>
    <n v="114"/>
    <n v="-3367.7526006393155"/>
    <n v="7899.1547343312159"/>
    <n v="4531.4021336919004"/>
    <s v="unknown"/>
    <n v="63"/>
    <n v="17"/>
    <n v="66"/>
    <n v="1"/>
    <x v="2"/>
    <n v="7.00643205900439"/>
    <s v="supplier_4"/>
    <x v="4"/>
    <n v="21"/>
    <n v="824"/>
    <n v="20"/>
    <n v="35.633652343343797"/>
    <s v="fail"/>
    <n v="416.57817954241398"/>
    <n v="4.1657817954241398"/>
    <x v="1"/>
    <s v="route_a"/>
    <n v="823.52384588815505"/>
  </r>
  <r>
    <x v="2"/>
    <x v="94"/>
    <n v="3.0376887246314102"/>
    <n v="97"/>
    <n v="987"/>
    <n v="4890.1577754506689"/>
    <n v="2998.1987712112018"/>
    <n v="7888.3565466618702"/>
    <s v="unknown"/>
    <n v="77"/>
    <n v="26"/>
    <n v="72"/>
    <n v="9"/>
    <x v="0"/>
    <n v="6.9429459420325799"/>
    <s v="supplier_2"/>
    <x v="2"/>
    <n v="12"/>
    <n v="908"/>
    <n v="14"/>
    <n v="60.387378614862101"/>
    <s v="pass"/>
    <n v="146.36074984727699"/>
    <n v="1.4636074984727701"/>
    <x v="2"/>
    <s v="route_b"/>
    <n v="846.66525698669398"/>
  </r>
  <r>
    <x v="0"/>
    <x v="95"/>
    <n v="77.903927219447695"/>
    <n v="65"/>
    <n v="672"/>
    <n v="-44965.07514742019"/>
    <n v="52351.439091468848"/>
    <n v="7386.3639440486604"/>
    <s v="unknown"/>
    <n v="15"/>
    <n v="14"/>
    <n v="26"/>
    <n v="9"/>
    <x v="0"/>
    <n v="8.6303388696027508"/>
    <s v="supplier_4"/>
    <x v="0"/>
    <n v="18"/>
    <n v="450"/>
    <n v="26"/>
    <n v="58.890685768589897"/>
    <s v="pending"/>
    <n v="121.08821295850601"/>
    <n v="1.21088212958506"/>
    <x v="1"/>
    <s v="route_a"/>
    <n v="778.86424137664699"/>
  </r>
  <r>
    <x v="2"/>
    <x v="96"/>
    <n v="24.423131420373299"/>
    <n v="29"/>
    <n v="324"/>
    <n v="-214.66981456883877"/>
    <n v="7913.0945802009492"/>
    <n v="7698.4247656321104"/>
    <s v="non-binary"/>
    <n v="67"/>
    <n v="2"/>
    <n v="32"/>
    <n v="3"/>
    <x v="2"/>
    <n v="5.3528780439967996"/>
    <s v="supplier_3"/>
    <x v="0"/>
    <n v="28"/>
    <n v="648"/>
    <n v="28"/>
    <n v="17.803756331391199"/>
    <s v="pending"/>
    <n v="387.20476814821302"/>
    <n v="3.8720476814821301"/>
    <x v="0"/>
    <s v="route_a"/>
    <n v="188.74214114905601"/>
  </r>
  <r>
    <x v="0"/>
    <x v="97"/>
    <n v="3.5261112591434101"/>
    <n v="56"/>
    <n v="62"/>
    <n v="4152.2976819176383"/>
    <n v="218.61889806689143"/>
    <n v="4370.9165799845296"/>
    <s v="male"/>
    <n v="46"/>
    <n v="19"/>
    <n v="4"/>
    <n v="9"/>
    <x v="1"/>
    <n v="7.9048456112096703"/>
    <s v="supplier_4"/>
    <x v="0"/>
    <n v="10"/>
    <n v="535"/>
    <n v="13"/>
    <n v="65.765155926367399"/>
    <s v="fail"/>
    <n v="337.62378347179799"/>
    <n v="3.3762378347179798"/>
    <x v="0"/>
    <s v="route_a"/>
    <n v="540.13242286796697"/>
  </r>
  <r>
    <x v="1"/>
    <x v="98"/>
    <n v="19.754604866878601"/>
    <n v="43"/>
    <n v="913"/>
    <n v="-9510.0016837766452"/>
    <n v="18035.954243460164"/>
    <n v="8525.9525596835192"/>
    <s v="female"/>
    <n v="53"/>
    <n v="1"/>
    <n v="27"/>
    <n v="7"/>
    <x v="0"/>
    <n v="1.4098010951380699"/>
    <s v="supplier_5"/>
    <x v="4"/>
    <n v="28"/>
    <n v="581"/>
    <n v="9"/>
    <n v="5.6046908643717801"/>
    <s v="pending"/>
    <n v="290.812216935126"/>
    <n v="2.9081221693512598"/>
    <x v="2"/>
    <s v="route_a"/>
    <n v="882.19886354704101"/>
  </r>
  <r>
    <x v="0"/>
    <x v="99"/>
    <n v="68.517832699276596"/>
    <n v="17"/>
    <n v="627"/>
    <n v="-33775.495273264722"/>
    <n v="42960.681102446426"/>
    <n v="9185.1858291817007"/>
    <s v="unknown"/>
    <n v="55"/>
    <n v="8"/>
    <n v="59"/>
    <n v="6"/>
    <x v="0"/>
    <n v="1.3110237561206199"/>
    <s v="supplier_2"/>
    <x v="4"/>
    <n v="29"/>
    <n v="921"/>
    <n v="2"/>
    <n v="38.072898520625998"/>
    <s v="fail"/>
    <n v="34.602729070550296"/>
    <n v="0.34602729070550298"/>
    <x v="2"/>
    <s v="route_b"/>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8A1BAF-7E3A-409F-8E39-2AC938FC1D7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0:E14" firstHeaderRow="1" firstDataRow="1" firstDataCol="1"/>
  <pivotFields count="27">
    <pivotField showAll="0">
      <items count="4">
        <item x="2"/>
        <item x="0"/>
        <item h="1" x="1"/>
        <item t="default"/>
      </items>
    </pivotField>
    <pivotField axis="axisRow" showAll="0" sortType="ascending">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showAll="0"/>
    <pivotField numFmtId="2" showAll="0"/>
    <pivotField showAll="0"/>
    <pivotField dataField="1" numFmtId="2" showAll="0"/>
    <pivotField showAll="0"/>
    <pivotField showAll="0"/>
    <pivotField showAll="0"/>
    <pivotField showAll="0"/>
    <pivotField showAll="0"/>
    <pivotField showAll="0">
      <items count="4">
        <item x="1"/>
        <item h="1" x="0"/>
        <item h="1" x="2"/>
        <item t="default"/>
      </items>
    </pivotField>
    <pivotField numFmtId="2" showAll="0"/>
    <pivotField showAll="0"/>
    <pivotField showAll="0"/>
    <pivotField showAll="0"/>
    <pivotField showAll="0"/>
    <pivotField showAll="0"/>
    <pivotField showAll="0"/>
    <pivotField showAll="0"/>
    <pivotField numFmtId="9" showAll="0"/>
    <pivotField showAll="0"/>
    <pivotField showAll="0">
      <items count="5">
        <item h="1" x="1"/>
        <item h="1" x="2"/>
        <item x="0"/>
        <item h="1" x="3"/>
        <item t="default"/>
      </items>
    </pivotField>
    <pivotField showAll="0"/>
    <pivotField showAll="0"/>
  </pivotFields>
  <rowFields count="1">
    <field x="1"/>
  </rowFields>
  <rowItems count="4">
    <i>
      <x v="47"/>
    </i>
    <i>
      <x v="69"/>
    </i>
    <i>
      <x v="97"/>
    </i>
    <i t="grand">
      <x/>
    </i>
  </rowItems>
  <colItems count="1">
    <i/>
  </colItems>
  <dataFields count="1">
    <dataField name="Sum of Revenue generated" fld="7" baseField="0" baseItem="0" numFmtId="164"/>
  </dataFields>
  <formats count="1">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D6985D-B2CD-47BD-94DB-4D903CB2D60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B12" firstHeaderRow="1" firstDataRow="1" firstDataCol="1"/>
  <pivotFields count="27">
    <pivotField showAll="0">
      <items count="4">
        <item x="2"/>
        <item x="0"/>
        <item h="1" x="1"/>
        <item t="default"/>
      </items>
    </pivotField>
    <pivotField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showAll="0"/>
    <pivotField numFmtId="2" showAll="0"/>
    <pivotField showAll="0"/>
    <pivotField dataField="1" numFmtId="2" showAll="0"/>
    <pivotField showAll="0"/>
    <pivotField showAll="0"/>
    <pivotField showAll="0"/>
    <pivotField showAll="0"/>
    <pivotField showAll="0"/>
    <pivotField axis="axisRow" showAll="0">
      <items count="4">
        <item x="1"/>
        <item h="1" x="0"/>
        <item h="1" x="2"/>
        <item t="default"/>
      </items>
    </pivotField>
    <pivotField numFmtId="2" showAll="0"/>
    <pivotField showAll="0"/>
    <pivotField showAll="0">
      <items count="6">
        <item x="3"/>
        <item h="1" x="4"/>
        <item h="1" x="2"/>
        <item h="1" x="1"/>
        <item h="1" x="0"/>
        <item t="default"/>
      </items>
    </pivotField>
    <pivotField showAll="0"/>
    <pivotField showAll="0"/>
    <pivotField showAll="0"/>
    <pivotField showAll="0"/>
    <pivotField showAll="0"/>
    <pivotField numFmtId="9" showAll="0"/>
    <pivotField showAll="0"/>
    <pivotField showAll="0">
      <items count="5">
        <item h="1" x="1"/>
        <item h="1" x="2"/>
        <item x="0"/>
        <item h="1" x="3"/>
        <item t="default"/>
      </items>
    </pivotField>
    <pivotField showAll="0"/>
    <pivotField showAll="0"/>
  </pivotFields>
  <rowFields count="1">
    <field x="13"/>
  </rowFields>
  <rowItems count="2">
    <i>
      <x/>
    </i>
    <i t="grand">
      <x/>
    </i>
  </rowItems>
  <colItems count="1">
    <i/>
  </colItems>
  <dataFields count="1">
    <dataField name="Sum of Revenue generated" fld="7" baseField="0" baseItem="0" numFmtId="164"/>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04D97-3A2B-4198-90C1-C30AE4CA8383}"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5:F29" firstHeaderRow="1" firstDataRow="2" firstDataCol="1"/>
  <pivotFields count="27">
    <pivotField axis="axisRow" showAll="0">
      <items count="4">
        <item x="2"/>
        <item x="0"/>
        <item h="1" x="1"/>
        <item t="default"/>
      </items>
    </pivotField>
    <pivotField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showAll="0"/>
    <pivotField numFmtId="2" showAll="0"/>
    <pivotField showAll="0"/>
    <pivotField numFmtId="2" showAll="0"/>
    <pivotField showAll="0"/>
    <pivotField showAll="0"/>
    <pivotField showAll="0"/>
    <pivotField showAll="0"/>
    <pivotField showAll="0"/>
    <pivotField showAll="0">
      <items count="4">
        <item x="1"/>
        <item h="1" x="0"/>
        <item h="1" x="2"/>
        <item t="default"/>
      </items>
    </pivotField>
    <pivotField numFmtId="2" showAll="0"/>
    <pivotField showAll="0"/>
    <pivotField showAll="0"/>
    <pivotField showAll="0"/>
    <pivotField showAll="0"/>
    <pivotField showAll="0"/>
    <pivotField showAll="0"/>
    <pivotField showAll="0"/>
    <pivotField numFmtId="9" showAll="0"/>
    <pivotField dataField="1" showAll="0"/>
    <pivotField axis="axisCol" showAll="0">
      <items count="5">
        <item h="1" x="1"/>
        <item h="1" x="2"/>
        <item x="0"/>
        <item h="1" x="3"/>
        <item t="default"/>
      </items>
    </pivotField>
    <pivotField showAll="0"/>
    <pivotField showAll="0"/>
  </pivotFields>
  <rowFields count="1">
    <field x="0"/>
  </rowFields>
  <rowItems count="3">
    <i>
      <x/>
    </i>
    <i>
      <x v="1"/>
    </i>
    <i t="grand">
      <x/>
    </i>
  </rowItems>
  <colFields count="1">
    <field x="24"/>
  </colFields>
  <colItems count="2">
    <i>
      <x v="2"/>
    </i>
    <i t="grand">
      <x/>
    </i>
  </colItems>
  <dataFields count="1">
    <dataField name="Average of Defect rates" fld="23" subtotal="average" baseField="0" baseItem="0"/>
  </dataFields>
  <formats count="1">
    <format dxfId="11">
      <pivotArea outline="0" collapsedLevelsAreSubtotals="1" fieldPosition="0"/>
    </format>
  </formats>
  <chartFormats count="4">
    <chartFormat chart="2" format="8" series="1">
      <pivotArea type="data" outline="0" fieldPosition="0">
        <references count="2">
          <reference field="4294967294" count="1" selected="0">
            <x v="0"/>
          </reference>
          <reference field="24" count="1" selected="0">
            <x v="0"/>
          </reference>
        </references>
      </pivotArea>
    </chartFormat>
    <chartFormat chart="2" format="9" series="1">
      <pivotArea type="data" outline="0" fieldPosition="0">
        <references count="2">
          <reference field="4294967294" count="1" selected="0">
            <x v="0"/>
          </reference>
          <reference field="24" count="1" selected="0">
            <x v="1"/>
          </reference>
        </references>
      </pivotArea>
    </chartFormat>
    <chartFormat chart="2" format="10" series="1">
      <pivotArea type="data" outline="0" fieldPosition="0">
        <references count="2">
          <reference field="4294967294" count="1" selected="0">
            <x v="0"/>
          </reference>
          <reference field="24" count="1" selected="0">
            <x v="2"/>
          </reference>
        </references>
      </pivotArea>
    </chartFormat>
    <chartFormat chart="2" format="11"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BD874-A107-4785-81AC-48FA9C48B8DE}"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9:L21" firstHeaderRow="1" firstDataRow="1" firstDataCol="1"/>
  <pivotFields count="27">
    <pivotField showAll="0">
      <items count="4">
        <item x="2"/>
        <item x="0"/>
        <item h="1" x="1"/>
        <item t="default"/>
      </items>
    </pivotField>
    <pivotField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showAll="0"/>
    <pivotField numFmtId="2" showAll="0"/>
    <pivotField showAll="0"/>
    <pivotField numFmtId="2" showAll="0"/>
    <pivotField showAll="0"/>
    <pivotField showAll="0"/>
    <pivotField showAll="0"/>
    <pivotField showAll="0"/>
    <pivotField showAll="0"/>
    <pivotField showAll="0">
      <items count="4">
        <item x="1"/>
        <item h="1" x="0"/>
        <item h="1" x="2"/>
        <item t="default"/>
      </items>
    </pivotField>
    <pivotField numFmtId="2" showAll="0"/>
    <pivotField showAll="0"/>
    <pivotField showAll="0"/>
    <pivotField showAll="0"/>
    <pivotField showAll="0"/>
    <pivotField showAll="0"/>
    <pivotField showAll="0"/>
    <pivotField showAll="0"/>
    <pivotField numFmtId="9" showAll="0"/>
    <pivotField showAll="0"/>
    <pivotField axis="axisRow" showAll="0">
      <items count="5">
        <item h="1" x="1"/>
        <item h="1" x="2"/>
        <item x="0"/>
        <item h="1" x="3"/>
        <item t="default"/>
      </items>
    </pivotField>
    <pivotField showAll="0"/>
    <pivotField dataField="1" showAll="0"/>
  </pivotFields>
  <rowFields count="1">
    <field x="24"/>
  </rowFields>
  <rowItems count="2">
    <i>
      <x v="2"/>
    </i>
    <i t="grand">
      <x/>
    </i>
  </rowItems>
  <colItems count="1">
    <i/>
  </colItems>
  <dataFields count="1">
    <dataField name="Average of Total logistics Costs" fld="26" subtotal="average" baseField="24" baseItem="0" numFmtId="164"/>
  </dataFields>
  <formats count="2">
    <format dxfId="0">
      <pivotArea outline="0" collapsedLevelsAreSubtotals="1" fieldPosition="0"/>
    </format>
    <format dxfId="1">
      <pivotArea collapsedLevelsAreSubtotals="1" fieldPosition="0">
        <references count="1">
          <reference field="24" count="0"/>
        </references>
      </pivotArea>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35DBD5-B182-4C44-BF07-822A68BB4311}"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6" firstHeaderRow="1" firstDataRow="1" firstDataCol="1"/>
  <pivotFields count="27">
    <pivotField axis="axisRow" showAll="0">
      <items count="4">
        <item x="2"/>
        <item x="0"/>
        <item h="1" x="1"/>
        <item t="default"/>
      </items>
    </pivotField>
    <pivotField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dataField="1" showAll="0"/>
    <pivotField numFmtId="2" showAll="0"/>
    <pivotField showAll="0"/>
    <pivotField numFmtId="2" showAll="0"/>
    <pivotField showAll="0"/>
    <pivotField showAll="0"/>
    <pivotField showAll="0"/>
    <pivotField showAll="0"/>
    <pivotField showAll="0"/>
    <pivotField showAll="0">
      <items count="4">
        <item x="1"/>
        <item h="1" x="0"/>
        <item h="1" x="2"/>
        <item t="default"/>
      </items>
    </pivotField>
    <pivotField numFmtId="2" showAll="0"/>
    <pivotField showAll="0"/>
    <pivotField showAll="0"/>
    <pivotField showAll="0"/>
    <pivotField showAll="0"/>
    <pivotField showAll="0"/>
    <pivotField showAll="0"/>
    <pivotField showAll="0"/>
    <pivotField numFmtId="9" showAll="0"/>
    <pivotField showAll="0"/>
    <pivotField showAll="0">
      <items count="5">
        <item h="1" x="1"/>
        <item h="1" x="2"/>
        <item x="0"/>
        <item h="1" x="3"/>
        <item t="default"/>
      </items>
    </pivotField>
    <pivotField showAll="0"/>
    <pivotField showAll="0"/>
  </pivotFields>
  <rowFields count="1">
    <field x="0"/>
  </rowFields>
  <rowItems count="3">
    <i>
      <x/>
    </i>
    <i>
      <x v="1"/>
    </i>
    <i t="grand">
      <x/>
    </i>
  </rowItems>
  <colItems count="1">
    <i/>
  </colItems>
  <dataFields count="1">
    <dataField name="Sum of Number of products sold" fld="4" showDataAs="percentOfTotal" baseField="0" baseItem="0" numFmtId="10"/>
  </dataFields>
  <formats count="2">
    <format dxfId="6">
      <pivotArea collapsedLevelsAreSubtotals="1" fieldPosition="0">
        <references count="1">
          <reference field="0" count="0"/>
        </references>
      </pivotArea>
    </format>
    <format dxfId="7">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E43408-E1A1-477B-8C0F-BEBD8B84C33A}"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19" firstHeaderRow="1" firstDataRow="1" firstDataCol="1"/>
  <pivotFields count="27">
    <pivotField showAll="0">
      <items count="4">
        <item x="2"/>
        <item x="0"/>
        <item h="1" x="1"/>
        <item t="default"/>
      </items>
    </pivotField>
    <pivotField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showAll="0"/>
    <pivotField numFmtId="2" showAll="0"/>
    <pivotField showAll="0"/>
    <pivotField numFmtId="2" showAll="0"/>
    <pivotField showAll="0"/>
    <pivotField showAll="0"/>
    <pivotField showAll="0"/>
    <pivotField showAll="0"/>
    <pivotField showAll="0"/>
    <pivotField axis="axisRow" showAll="0">
      <items count="4">
        <item x="1"/>
        <item h="1" x="0"/>
        <item h="1" x="2"/>
        <item t="default"/>
      </items>
    </pivotField>
    <pivotField dataField="1" numFmtId="2" showAll="0"/>
    <pivotField showAll="0"/>
    <pivotField showAll="0"/>
    <pivotField showAll="0"/>
    <pivotField showAll="0"/>
    <pivotField showAll="0"/>
    <pivotField showAll="0"/>
    <pivotField showAll="0"/>
    <pivotField numFmtId="9" showAll="0"/>
    <pivotField showAll="0"/>
    <pivotField showAll="0">
      <items count="5">
        <item h="1" x="1"/>
        <item h="1" x="2"/>
        <item x="0"/>
        <item h="1" x="3"/>
        <item t="default"/>
      </items>
    </pivotField>
    <pivotField showAll="0"/>
    <pivotField showAll="0"/>
  </pivotFields>
  <rowFields count="1">
    <field x="13"/>
  </rowFields>
  <rowItems count="2">
    <i>
      <x/>
    </i>
    <i t="grand">
      <x/>
    </i>
  </rowItems>
  <colItems count="1">
    <i/>
  </colItems>
  <dataFields count="1">
    <dataField name="Average of Shipping costs" fld="14" subtotal="average" baseField="13" baseItem="0" numFmtId="164"/>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726DDB-5726-404D-95A2-4EEF8546A45D}"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6" firstHeaderRow="0" firstDataRow="1" firstDataCol="1"/>
  <pivotFields count="27">
    <pivotField axis="axisRow" showAll="0">
      <items count="4">
        <item x="2"/>
        <item x="0"/>
        <item h="1" x="1"/>
        <item t="default"/>
      </items>
    </pivotField>
    <pivotField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dataField="1" numFmtId="2" showAll="0"/>
    <pivotField numFmtId="9" showAll="0"/>
    <pivotField showAll="0"/>
    <pivotField numFmtId="2" showAll="0"/>
    <pivotField showAll="0"/>
    <pivotField dataField="1" numFmtId="2" showAll="0"/>
    <pivotField showAll="0"/>
    <pivotField showAll="0"/>
    <pivotField showAll="0"/>
    <pivotField showAll="0"/>
    <pivotField showAll="0"/>
    <pivotField showAll="0">
      <items count="4">
        <item x="1"/>
        <item h="1" x="0"/>
        <item h="1" x="2"/>
        <item t="default"/>
      </items>
    </pivotField>
    <pivotField numFmtId="2" showAll="0"/>
    <pivotField showAll="0"/>
    <pivotField showAll="0"/>
    <pivotField showAll="0"/>
    <pivotField showAll="0"/>
    <pivotField showAll="0"/>
    <pivotField showAll="0"/>
    <pivotField showAll="0"/>
    <pivotField numFmtId="9" showAll="0"/>
    <pivotField showAll="0"/>
    <pivotField showAll="0">
      <items count="5">
        <item h="1" x="1"/>
        <item h="1" x="2"/>
        <item x="0"/>
        <item h="1" x="3"/>
        <item t="default"/>
      </items>
    </pivotField>
    <pivotField showAll="0"/>
    <pivotField showAll="0"/>
  </pivotFields>
  <rowFields count="1">
    <field x="0"/>
  </rowFields>
  <rowItems count="3">
    <i>
      <x/>
    </i>
    <i>
      <x v="1"/>
    </i>
    <i t="grand">
      <x/>
    </i>
  </rowItems>
  <colFields count="1">
    <field x="-2"/>
  </colFields>
  <colItems count="2">
    <i>
      <x/>
    </i>
    <i i="1">
      <x v="1"/>
    </i>
  </colItems>
  <dataFields count="2">
    <dataField name="Sum of Revenue generated" fld="7" baseField="0" baseItem="0" numFmtId="2"/>
    <dataField name="Average of Price" fld="2" subtotal="average" baseField="0" baseItem="0" numFmtId="2"/>
  </dataFields>
  <formats count="3">
    <format dxfId="8">
      <pivotArea collapsedLevelsAreSubtotals="1" fieldPosition="0">
        <references count="1">
          <reference field="0" count="0"/>
        </references>
      </pivotArea>
    </format>
    <format dxfId="9">
      <pivotArea collapsedLevelsAreSubtotals="1" fieldPosition="0">
        <references count="2">
          <reference field="4294967294" count="1" selected="0">
            <x v="1"/>
          </reference>
          <reference field="0" count="0"/>
        </references>
      </pivotArea>
    </format>
    <format dxfId="10">
      <pivotArea field="0" grandRow="1" outline="0" collapsedLevelsAreSubtotals="1" axis="axisRow"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9F9E47-D6A2-4F8C-8F48-A132E0CDCED5}"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3:L7" firstHeaderRow="1" firstDataRow="1" firstDataCol="1"/>
  <pivotFields count="27">
    <pivotField showAll="0">
      <items count="4">
        <item x="2"/>
        <item x="0"/>
        <item h="1" x="1"/>
        <item t="default"/>
      </items>
    </pivotField>
    <pivotField axis="axisRow" showAll="0">
      <items count="101">
        <item x="0"/>
        <item x="1"/>
        <item x="10"/>
        <item x="11"/>
        <item h="1"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2" showAll="0"/>
    <pivotField numFmtId="9" showAll="0"/>
    <pivotField showAll="0"/>
    <pivotField numFmtId="2" showAll="0"/>
    <pivotField showAll="0"/>
    <pivotField numFmtId="2" showAll="0"/>
    <pivotField showAll="0"/>
    <pivotField dataField="1" showAll="0"/>
    <pivotField showAll="0"/>
    <pivotField showAll="0"/>
    <pivotField showAll="0"/>
    <pivotField showAll="0">
      <items count="4">
        <item x="1"/>
        <item h="1" x="0"/>
        <item h="1" x="2"/>
        <item t="default"/>
      </items>
    </pivotField>
    <pivotField numFmtId="2" showAll="0"/>
    <pivotField showAll="0"/>
    <pivotField showAll="0"/>
    <pivotField showAll="0"/>
    <pivotField showAll="0"/>
    <pivotField showAll="0"/>
    <pivotField showAll="0"/>
    <pivotField showAll="0"/>
    <pivotField numFmtId="9" showAll="0"/>
    <pivotField showAll="0"/>
    <pivotField showAll="0">
      <items count="5">
        <item h="1" x="1"/>
        <item h="1" x="2"/>
        <item x="0"/>
        <item h="1" x="3"/>
        <item t="default"/>
      </items>
    </pivotField>
    <pivotField showAll="0"/>
    <pivotField showAll="0"/>
  </pivotFields>
  <rowFields count="1">
    <field x="1"/>
  </rowFields>
  <rowItems count="4">
    <i>
      <x v="47"/>
    </i>
    <i>
      <x v="69"/>
    </i>
    <i>
      <x v="97"/>
    </i>
    <i t="grand">
      <x/>
    </i>
  </rowItems>
  <colItems count="1">
    <i/>
  </colItems>
  <dataFields count="1">
    <dataField name="Average of Stock levels" fld="9" subtotal="average" baseField="1" baseItem="0" numFmtId="1"/>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301DD9B5-5D53-4CE7-A639-0B2E2445FB07}" sourceName="Product type">
  <pivotTables>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661766052">
      <items count="3">
        <i x="2" s="1"/>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AE8A5D4D-0604-4B64-B081-46A066B15C8E}" sourceName="SKU">
  <pivotTables>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661766052">
      <items count="100">
        <i x="12"/>
        <i x="51" s="1"/>
        <i x="71" s="1"/>
        <i x="97" s="1"/>
        <i x="0" s="1" nd="1"/>
        <i x="1" s="1" nd="1"/>
        <i x="10" s="1" nd="1"/>
        <i x="11" s="1" nd="1"/>
        <i x="13" s="1" nd="1"/>
        <i x="14" s="1" nd="1"/>
        <i x="15" s="1" nd="1"/>
        <i x="16" s="1" nd="1"/>
        <i x="17" s="1" nd="1"/>
        <i x="18" s="1" nd="1"/>
        <i x="19" s="1" nd="1"/>
        <i x="2" s="1" nd="1"/>
        <i x="20" s="1" nd="1"/>
        <i x="21" s="1" nd="1"/>
        <i x="22" s="1" nd="1"/>
        <i x="23" s="1" nd="1"/>
        <i x="24" s="1" nd="1"/>
        <i x="25" s="1" nd="1"/>
        <i x="26" s="1" nd="1"/>
        <i x="27" s="1" nd="1"/>
        <i x="28" s="1" nd="1"/>
        <i x="29" s="1" nd="1"/>
        <i x="3" s="1" nd="1"/>
        <i x="30" s="1" nd="1"/>
        <i x="31" s="1" nd="1"/>
        <i x="32" s="1" nd="1"/>
        <i x="33" s="1" nd="1"/>
        <i x="34" s="1" nd="1"/>
        <i x="35" s="1" nd="1"/>
        <i x="36" s="1" nd="1"/>
        <i x="37" s="1" nd="1"/>
        <i x="38" s="1" nd="1"/>
        <i x="39" s="1" nd="1"/>
        <i x="4" s="1" nd="1"/>
        <i x="40" s="1" nd="1"/>
        <i x="41" s="1" nd="1"/>
        <i x="42" s="1" nd="1"/>
        <i x="43" s="1" nd="1"/>
        <i x="44" s="1" nd="1"/>
        <i x="45" s="1" nd="1"/>
        <i x="46" s="1" nd="1"/>
        <i x="47" s="1" nd="1"/>
        <i x="48" s="1" nd="1"/>
        <i x="49" s="1" nd="1"/>
        <i x="5" s="1" nd="1"/>
        <i x="50" s="1" nd="1"/>
        <i x="52" s="1" nd="1"/>
        <i x="53" s="1" nd="1"/>
        <i x="54" s="1" nd="1"/>
        <i x="55" s="1" nd="1"/>
        <i x="56" s="1" nd="1"/>
        <i x="57" s="1" nd="1"/>
        <i x="58" s="1" nd="1"/>
        <i x="59" s="1" nd="1"/>
        <i x="6" s="1" nd="1"/>
        <i x="60" s="1" nd="1"/>
        <i x="61" s="1" nd="1"/>
        <i x="62" s="1" nd="1"/>
        <i x="63" s="1" nd="1"/>
        <i x="64" s="1" nd="1"/>
        <i x="65" s="1" nd="1"/>
        <i x="66" s="1" nd="1"/>
        <i x="67" s="1" nd="1"/>
        <i x="68" s="1" nd="1"/>
        <i x="69" s="1" nd="1"/>
        <i x="7" s="1" nd="1"/>
        <i x="70" s="1" nd="1"/>
        <i x="72" s="1" nd="1"/>
        <i x="73" s="1" nd="1"/>
        <i x="74" s="1" nd="1"/>
        <i x="75" s="1" nd="1"/>
        <i x="76" s="1" nd="1"/>
        <i x="77" s="1" nd="1"/>
        <i x="78" s="1" nd="1"/>
        <i x="79" s="1" nd="1"/>
        <i x="8" s="1" nd="1"/>
        <i x="80" s="1" nd="1"/>
        <i x="81" s="1" nd="1"/>
        <i x="82" s="1" nd="1"/>
        <i x="83" s="1" nd="1"/>
        <i x="84" s="1" nd="1"/>
        <i x="85" s="1" nd="1"/>
        <i x="86" s="1" nd="1"/>
        <i x="87" s="1" nd="1"/>
        <i x="88" s="1" nd="1"/>
        <i x="89" s="1" nd="1"/>
        <i x="9" s="1" nd="1"/>
        <i x="90" s="1" nd="1"/>
        <i x="91" s="1" nd="1"/>
        <i x="92" s="1" nd="1"/>
        <i x="93" s="1" nd="1"/>
        <i x="94" s="1" nd="1"/>
        <i x="95" s="1" nd="1"/>
        <i x="96" s="1" nd="1"/>
        <i x="98" s="1" nd="1"/>
        <i x="9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63556D3C-5263-4645-B0A7-9182BBD83C3E}" sourceName="Shipping carriers">
  <pivotTables>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661766052">
      <items count="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AB8C6077-B19D-481E-AE0C-8DFCAF3F0F95}" sourceName="Transportation modes">
  <pivotTables>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1661766052">
      <items count="4">
        <i x="1"/>
        <i x="2"/>
        <i x="0"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DD37DD14-A11D-4970-91A5-1DA28DEF2BFD}" cache="Slicer_Product_type" caption="Product type" style="SlicerStyleDark1" rowHeight="241300"/>
  <slicer name="SKU" xr10:uid="{D47E9F35-F16F-4BC8-8740-87A2A260CD3A}" cache="Slicer_SKU" caption="SKU" style="SlicerStyleDark1" rowHeight="241300"/>
  <slicer name="Shipping carriers" xr10:uid="{2AA657FF-A294-4E16-B3EE-0F6973C08B79}" cache="Slicer_Shipping_carriers" caption="Shipping carriers" style="SlicerStyleDark1" rowHeight="241300"/>
  <slicer name="Transportation modes" xr10:uid="{D63129B5-A679-4306-AA6E-CF303D7A5206}" cache="Slicer_Transportation_modes" caption="Transportation modes" startItem="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C177A-88A7-4A1E-8B90-A484BB68663A}">
  <dimension ref="A1:AA101"/>
  <sheetViews>
    <sheetView workbookViewId="0"/>
  </sheetViews>
  <sheetFormatPr defaultRowHeight="14.5" x14ac:dyDescent="0.35"/>
  <cols>
    <col min="3" max="3" width="8.7265625" style="1"/>
    <col min="4" max="4" width="9.81640625" style="2" bestFit="1" customWidth="1"/>
    <col min="6" max="6" width="9" bestFit="1" customWidth="1"/>
    <col min="8" max="8" width="8.7265625" style="1"/>
    <col min="15" max="15" width="8.7265625" style="1"/>
    <col min="23" max="23" width="9.81640625" bestFit="1" customWidth="1"/>
  </cols>
  <sheetData>
    <row r="1" spans="1:27" x14ac:dyDescent="0.35">
      <c r="A1" t="s">
        <v>0</v>
      </c>
      <c r="B1" t="s">
        <v>1</v>
      </c>
      <c r="C1" s="1" t="s">
        <v>2</v>
      </c>
      <c r="D1" s="2" t="s">
        <v>3</v>
      </c>
      <c r="E1" t="s">
        <v>4</v>
      </c>
      <c r="F1" t="s">
        <v>156</v>
      </c>
      <c r="G1" t="s">
        <v>155</v>
      </c>
      <c r="H1" s="1" t="s">
        <v>5</v>
      </c>
      <c r="I1" t="s">
        <v>6</v>
      </c>
      <c r="J1" t="s">
        <v>7</v>
      </c>
      <c r="K1" t="s">
        <v>124</v>
      </c>
      <c r="L1" t="s">
        <v>8</v>
      </c>
      <c r="M1" t="s">
        <v>9</v>
      </c>
      <c r="N1" t="s">
        <v>10</v>
      </c>
      <c r="O1" s="1" t="s">
        <v>11</v>
      </c>
      <c r="P1" t="s">
        <v>12</v>
      </c>
      <c r="Q1" t="s">
        <v>13</v>
      </c>
      <c r="R1" t="s">
        <v>125</v>
      </c>
      <c r="S1" t="s">
        <v>14</v>
      </c>
      <c r="T1" t="s">
        <v>15</v>
      </c>
      <c r="U1" t="s">
        <v>16</v>
      </c>
      <c r="V1" t="s">
        <v>17</v>
      </c>
      <c r="W1" t="s">
        <v>154</v>
      </c>
      <c r="X1" t="s">
        <v>18</v>
      </c>
      <c r="Y1" t="s">
        <v>19</v>
      </c>
      <c r="Z1" t="s">
        <v>20</v>
      </c>
      <c r="AA1" t="s">
        <v>126</v>
      </c>
    </row>
    <row r="2" spans="1:27" x14ac:dyDescent="0.35">
      <c r="A2" t="s">
        <v>21</v>
      </c>
      <c r="B2" t="s">
        <v>22</v>
      </c>
      <c r="C2" s="1">
        <v>69.808005542115694</v>
      </c>
      <c r="D2" s="2">
        <v>55</v>
      </c>
      <c r="E2">
        <v>802</v>
      </c>
      <c r="F2" s="1">
        <f>H2-G2</f>
        <v>-47324.023652384407</v>
      </c>
      <c r="G2">
        <f>C2*E2</f>
        <v>55986.02044477679</v>
      </c>
      <c r="H2" s="1">
        <v>8661.9967923923796</v>
      </c>
      <c r="I2" t="s">
        <v>127</v>
      </c>
      <c r="J2">
        <v>58</v>
      </c>
      <c r="K2">
        <v>7</v>
      </c>
      <c r="L2">
        <v>96</v>
      </c>
      <c r="M2">
        <v>4</v>
      </c>
      <c r="N2" t="s">
        <v>135</v>
      </c>
      <c r="O2" s="1">
        <v>2.9565721394308002</v>
      </c>
      <c r="P2" t="s">
        <v>146</v>
      </c>
      <c r="Q2" t="s">
        <v>149</v>
      </c>
      <c r="R2">
        <v>29</v>
      </c>
      <c r="S2">
        <v>215</v>
      </c>
      <c r="T2">
        <v>29</v>
      </c>
      <c r="U2">
        <v>46.279879240508301</v>
      </c>
      <c r="V2" t="s">
        <v>133</v>
      </c>
      <c r="W2" s="2">
        <f>X2*100</f>
        <v>22.6410360849925</v>
      </c>
      <c r="X2">
        <v>0.226410360849925</v>
      </c>
      <c r="Y2" t="s">
        <v>137</v>
      </c>
      <c r="Z2" t="s">
        <v>142</v>
      </c>
      <c r="AA2">
        <v>187.75207545920301</v>
      </c>
    </row>
    <row r="3" spans="1:27" x14ac:dyDescent="0.35">
      <c r="A3" t="s">
        <v>23</v>
      </c>
      <c r="B3" t="s">
        <v>24</v>
      </c>
      <c r="C3" s="1">
        <v>14.8435232750843</v>
      </c>
      <c r="D3" s="2">
        <v>95</v>
      </c>
      <c r="E3">
        <v>736</v>
      </c>
      <c r="F3" s="1">
        <f t="shared" ref="F3:F66" si="0">H3-G3</f>
        <v>-3463.9330650162046</v>
      </c>
      <c r="G3">
        <f t="shared" ref="G3:G66" si="1">C3*E3</f>
        <v>10924.833130462044</v>
      </c>
      <c r="H3" s="1">
        <v>7460.9000654458396</v>
      </c>
      <c r="I3" t="s">
        <v>129</v>
      </c>
      <c r="J3">
        <v>53</v>
      </c>
      <c r="K3">
        <v>30</v>
      </c>
      <c r="L3">
        <v>37</v>
      </c>
      <c r="M3">
        <v>2</v>
      </c>
      <c r="N3" t="s">
        <v>134</v>
      </c>
      <c r="O3" s="1">
        <v>9.7165747714313095</v>
      </c>
      <c r="P3" t="s">
        <v>146</v>
      </c>
      <c r="Q3" t="s">
        <v>149</v>
      </c>
      <c r="R3">
        <v>23</v>
      </c>
      <c r="S3">
        <v>517</v>
      </c>
      <c r="T3">
        <v>30</v>
      </c>
      <c r="U3">
        <v>33.616768953730002</v>
      </c>
      <c r="V3" t="s">
        <v>133</v>
      </c>
      <c r="W3" s="2">
        <f t="shared" ref="W3:W66" si="2">X3*100</f>
        <v>485.40680263886998</v>
      </c>
      <c r="X3">
        <v>4.8540680263886999</v>
      </c>
      <c r="Y3" t="s">
        <v>137</v>
      </c>
      <c r="Z3" t="s">
        <v>142</v>
      </c>
      <c r="AA3">
        <v>503.06557914966902</v>
      </c>
    </row>
    <row r="4" spans="1:27" x14ac:dyDescent="0.35">
      <c r="A4" t="s">
        <v>21</v>
      </c>
      <c r="B4" t="s">
        <v>25</v>
      </c>
      <c r="C4" s="1">
        <v>11.319683293090501</v>
      </c>
      <c r="D4" s="2">
        <v>34</v>
      </c>
      <c r="E4">
        <v>8</v>
      </c>
      <c r="F4" s="1">
        <f t="shared" si="0"/>
        <v>9487.1921595240055</v>
      </c>
      <c r="G4">
        <f t="shared" si="1"/>
        <v>90.557466344724006</v>
      </c>
      <c r="H4" s="1">
        <v>9577.7496258687297</v>
      </c>
      <c r="I4" t="s">
        <v>128</v>
      </c>
      <c r="J4">
        <v>1</v>
      </c>
      <c r="K4">
        <v>10</v>
      </c>
      <c r="L4">
        <v>88</v>
      </c>
      <c r="M4">
        <v>2</v>
      </c>
      <c r="N4" t="s">
        <v>135</v>
      </c>
      <c r="O4" s="1">
        <v>8.0544792617321495</v>
      </c>
      <c r="P4" t="s">
        <v>144</v>
      </c>
      <c r="Q4" t="s">
        <v>149</v>
      </c>
      <c r="R4">
        <v>12</v>
      </c>
      <c r="S4">
        <v>971</v>
      </c>
      <c r="T4">
        <v>27</v>
      </c>
      <c r="U4">
        <v>30.6880193482842</v>
      </c>
      <c r="V4" t="s">
        <v>133</v>
      </c>
      <c r="W4" s="2">
        <f t="shared" si="2"/>
        <v>458.05926191992199</v>
      </c>
      <c r="X4">
        <v>4.5805926191992201</v>
      </c>
      <c r="Y4" t="s">
        <v>138</v>
      </c>
      <c r="Z4" t="s">
        <v>143</v>
      </c>
      <c r="AA4">
        <v>141.920281771519</v>
      </c>
    </row>
    <row r="5" spans="1:27" x14ac:dyDescent="0.35">
      <c r="A5" t="s">
        <v>23</v>
      </c>
      <c r="B5" t="s">
        <v>26</v>
      </c>
      <c r="C5" s="1">
        <v>61.1633430164377</v>
      </c>
      <c r="D5" s="2">
        <v>68</v>
      </c>
      <c r="E5">
        <v>83</v>
      </c>
      <c r="F5" s="1">
        <f t="shared" si="0"/>
        <v>2690.2789553209013</v>
      </c>
      <c r="G5">
        <f t="shared" si="1"/>
        <v>5076.5574703643288</v>
      </c>
      <c r="H5" s="1">
        <v>7766.8364256852301</v>
      </c>
      <c r="I5" t="s">
        <v>127</v>
      </c>
      <c r="J5">
        <v>23</v>
      </c>
      <c r="K5">
        <v>13</v>
      </c>
      <c r="L5">
        <v>59</v>
      </c>
      <c r="M5">
        <v>6</v>
      </c>
      <c r="N5" t="s">
        <v>136</v>
      </c>
      <c r="O5" s="1">
        <v>1.7295685635434199</v>
      </c>
      <c r="P5" t="s">
        <v>148</v>
      </c>
      <c r="Q5" t="s">
        <v>151</v>
      </c>
      <c r="R5">
        <v>24</v>
      </c>
      <c r="S5">
        <v>937</v>
      </c>
      <c r="T5">
        <v>18</v>
      </c>
      <c r="U5">
        <v>35.624741397125</v>
      </c>
      <c r="V5" t="s">
        <v>132</v>
      </c>
      <c r="W5" s="2">
        <f t="shared" si="2"/>
        <v>474.66486206477498</v>
      </c>
      <c r="X5">
        <v>4.7466486206477496</v>
      </c>
      <c r="Y5" t="s">
        <v>139</v>
      </c>
      <c r="Z5" t="s">
        <v>141</v>
      </c>
      <c r="AA5">
        <v>254.776159219286</v>
      </c>
    </row>
    <row r="6" spans="1:27" x14ac:dyDescent="0.35">
      <c r="A6" t="s">
        <v>23</v>
      </c>
      <c r="B6" t="s">
        <v>27</v>
      </c>
      <c r="C6" s="1">
        <v>4.8054960363458896</v>
      </c>
      <c r="D6" s="2">
        <v>26</v>
      </c>
      <c r="E6">
        <v>871</v>
      </c>
      <c r="F6" s="1">
        <f t="shared" si="0"/>
        <v>-1499.08189608983</v>
      </c>
      <c r="G6">
        <f t="shared" si="1"/>
        <v>4185.58704765727</v>
      </c>
      <c r="H6" s="1">
        <v>2686.50515156744</v>
      </c>
      <c r="I6" t="s">
        <v>127</v>
      </c>
      <c r="J6">
        <v>5</v>
      </c>
      <c r="K6">
        <v>3</v>
      </c>
      <c r="L6">
        <v>56</v>
      </c>
      <c r="M6">
        <v>8</v>
      </c>
      <c r="N6" t="s">
        <v>134</v>
      </c>
      <c r="O6" s="1">
        <v>3.8905479158706702</v>
      </c>
      <c r="P6" t="s">
        <v>144</v>
      </c>
      <c r="Q6" t="s">
        <v>150</v>
      </c>
      <c r="R6">
        <v>5</v>
      </c>
      <c r="S6">
        <v>414</v>
      </c>
      <c r="T6">
        <v>3</v>
      </c>
      <c r="U6">
        <v>92.065160598712794</v>
      </c>
      <c r="V6" t="s">
        <v>132</v>
      </c>
      <c r="W6" s="2">
        <f t="shared" si="2"/>
        <v>314.55795228330004</v>
      </c>
      <c r="X6">
        <v>3.1455795228330001</v>
      </c>
      <c r="Y6" t="s">
        <v>138</v>
      </c>
      <c r="Z6" t="s">
        <v>141</v>
      </c>
      <c r="AA6">
        <v>923.44063171192204</v>
      </c>
    </row>
    <row r="7" spans="1:27" x14ac:dyDescent="0.35">
      <c r="A7" t="s">
        <v>21</v>
      </c>
      <c r="B7" t="s">
        <v>28</v>
      </c>
      <c r="C7" s="1">
        <v>1.6999760138659299</v>
      </c>
      <c r="D7" s="2">
        <v>87</v>
      </c>
      <c r="E7">
        <v>147</v>
      </c>
      <c r="F7" s="1">
        <f t="shared" si="0"/>
        <v>2578.4522719374581</v>
      </c>
      <c r="G7">
        <f t="shared" si="1"/>
        <v>249.8964740382917</v>
      </c>
      <c r="H7" s="1">
        <v>2828.3487459757498</v>
      </c>
      <c r="I7" t="s">
        <v>127</v>
      </c>
      <c r="J7">
        <v>90</v>
      </c>
      <c r="K7">
        <v>27</v>
      </c>
      <c r="L7">
        <v>66</v>
      </c>
      <c r="M7">
        <v>3</v>
      </c>
      <c r="N7" t="s">
        <v>135</v>
      </c>
      <c r="O7" s="1">
        <v>4.4440988643822896</v>
      </c>
      <c r="P7" t="s">
        <v>147</v>
      </c>
      <c r="Q7" t="s">
        <v>153</v>
      </c>
      <c r="R7">
        <v>10</v>
      </c>
      <c r="S7">
        <v>104</v>
      </c>
      <c r="T7">
        <v>17</v>
      </c>
      <c r="U7">
        <v>56.766475557431797</v>
      </c>
      <c r="V7" t="s">
        <v>132</v>
      </c>
      <c r="W7" s="2">
        <f t="shared" si="2"/>
        <v>277.91935115711601</v>
      </c>
      <c r="X7">
        <v>2.7791935115711599</v>
      </c>
      <c r="Y7" t="s">
        <v>137</v>
      </c>
      <c r="Z7" t="s">
        <v>141</v>
      </c>
      <c r="AA7">
        <v>235.461236735537</v>
      </c>
    </row>
    <row r="8" spans="1:27" x14ac:dyDescent="0.35">
      <c r="A8" t="s">
        <v>23</v>
      </c>
      <c r="B8" t="s">
        <v>29</v>
      </c>
      <c r="C8" s="1">
        <v>4.0783328631079403</v>
      </c>
      <c r="D8" s="2">
        <v>48</v>
      </c>
      <c r="E8">
        <v>65</v>
      </c>
      <c r="F8" s="1">
        <f t="shared" si="0"/>
        <v>7558.384923429714</v>
      </c>
      <c r="G8">
        <f t="shared" si="1"/>
        <v>265.09163610201614</v>
      </c>
      <c r="H8" s="1">
        <v>7823.4765595317303</v>
      </c>
      <c r="I8" t="s">
        <v>130</v>
      </c>
      <c r="J8">
        <v>11</v>
      </c>
      <c r="K8">
        <v>15</v>
      </c>
      <c r="L8">
        <v>58</v>
      </c>
      <c r="M8">
        <v>8</v>
      </c>
      <c r="N8" t="s">
        <v>136</v>
      </c>
      <c r="O8" s="1">
        <v>3.8807633029519999</v>
      </c>
      <c r="P8" t="s">
        <v>146</v>
      </c>
      <c r="Q8" t="s">
        <v>151</v>
      </c>
      <c r="R8">
        <v>14</v>
      </c>
      <c r="S8">
        <v>314</v>
      </c>
      <c r="T8">
        <v>24</v>
      </c>
      <c r="U8">
        <v>1.0850685695870601</v>
      </c>
      <c r="V8" t="s">
        <v>133</v>
      </c>
      <c r="W8" s="2">
        <f t="shared" si="2"/>
        <v>100.09106193041299</v>
      </c>
      <c r="X8">
        <v>1.0009106193041299</v>
      </c>
      <c r="Y8" t="s">
        <v>140</v>
      </c>
      <c r="Z8" t="s">
        <v>141</v>
      </c>
      <c r="AA8">
        <v>134.36909686103101</v>
      </c>
    </row>
    <row r="9" spans="1:27" x14ac:dyDescent="0.35">
      <c r="A9" t="s">
        <v>30</v>
      </c>
      <c r="B9" t="s">
        <v>31</v>
      </c>
      <c r="C9" s="1">
        <v>42.958384382459997</v>
      </c>
      <c r="D9" s="2">
        <v>59</v>
      </c>
      <c r="E9">
        <v>426</v>
      </c>
      <c r="F9" s="1">
        <f t="shared" si="0"/>
        <v>-9804.1679338381291</v>
      </c>
      <c r="G9">
        <f t="shared" si="1"/>
        <v>18300.27174692796</v>
      </c>
      <c r="H9" s="1">
        <v>8496.1038130898305</v>
      </c>
      <c r="I9" t="s">
        <v>129</v>
      </c>
      <c r="J9">
        <v>93</v>
      </c>
      <c r="K9">
        <v>17</v>
      </c>
      <c r="L9">
        <v>11</v>
      </c>
      <c r="M9">
        <v>1</v>
      </c>
      <c r="N9" t="s">
        <v>135</v>
      </c>
      <c r="O9" s="1">
        <v>2.3483387844177801</v>
      </c>
      <c r="P9" t="s">
        <v>147</v>
      </c>
      <c r="Q9" t="s">
        <v>153</v>
      </c>
      <c r="R9">
        <v>22</v>
      </c>
      <c r="S9">
        <v>564</v>
      </c>
      <c r="T9">
        <v>1</v>
      </c>
      <c r="U9">
        <v>99.466108603599096</v>
      </c>
      <c r="V9" t="s">
        <v>132</v>
      </c>
      <c r="W9" s="2">
        <f t="shared" si="2"/>
        <v>39.817718685065003</v>
      </c>
      <c r="X9">
        <v>0.39817718685065001</v>
      </c>
      <c r="Y9" t="s">
        <v>137</v>
      </c>
      <c r="Z9" t="s">
        <v>143</v>
      </c>
      <c r="AA9">
        <v>802.05631181755803</v>
      </c>
    </row>
    <row r="10" spans="1:27" x14ac:dyDescent="0.35">
      <c r="A10" t="s">
        <v>30</v>
      </c>
      <c r="B10" t="s">
        <v>32</v>
      </c>
      <c r="C10" s="1">
        <v>68.717596748527299</v>
      </c>
      <c r="D10" s="2">
        <v>78</v>
      </c>
      <c r="E10">
        <v>150</v>
      </c>
      <c r="F10" s="1">
        <f t="shared" si="0"/>
        <v>-2790.2763016479748</v>
      </c>
      <c r="G10">
        <f t="shared" si="1"/>
        <v>10307.639512279095</v>
      </c>
      <c r="H10" s="1">
        <v>7517.3632106311197</v>
      </c>
      <c r="I10" t="s">
        <v>129</v>
      </c>
      <c r="J10">
        <v>5</v>
      </c>
      <c r="K10">
        <v>10</v>
      </c>
      <c r="L10">
        <v>15</v>
      </c>
      <c r="M10">
        <v>7</v>
      </c>
      <c r="N10" t="s">
        <v>136</v>
      </c>
      <c r="O10" s="1">
        <v>3.4047338570830199</v>
      </c>
      <c r="P10" t="s">
        <v>147</v>
      </c>
      <c r="Q10" t="s">
        <v>149</v>
      </c>
      <c r="R10">
        <v>13</v>
      </c>
      <c r="S10">
        <v>769</v>
      </c>
      <c r="T10">
        <v>8</v>
      </c>
      <c r="U10">
        <v>11.423027139565599</v>
      </c>
      <c r="V10" t="s">
        <v>133</v>
      </c>
      <c r="W10" s="2">
        <f t="shared" si="2"/>
        <v>270.98626911099603</v>
      </c>
      <c r="X10">
        <v>2.7098626911099601</v>
      </c>
      <c r="Y10" t="s">
        <v>140</v>
      </c>
      <c r="Z10" t="s">
        <v>142</v>
      </c>
      <c r="AA10">
        <v>505.55713422546398</v>
      </c>
    </row>
    <row r="11" spans="1:27" x14ac:dyDescent="0.35">
      <c r="A11" t="s">
        <v>23</v>
      </c>
      <c r="B11" t="s">
        <v>33</v>
      </c>
      <c r="C11" s="1">
        <v>64.0157329412785</v>
      </c>
      <c r="D11" s="2">
        <v>35</v>
      </c>
      <c r="E11">
        <v>980</v>
      </c>
      <c r="F11" s="1">
        <f t="shared" si="0"/>
        <v>-57764.272294867376</v>
      </c>
      <c r="G11">
        <f t="shared" si="1"/>
        <v>62735.418282452927</v>
      </c>
      <c r="H11" s="1">
        <v>4971.1459875855498</v>
      </c>
      <c r="I11" t="s">
        <v>128</v>
      </c>
      <c r="J11">
        <v>14</v>
      </c>
      <c r="K11">
        <v>27</v>
      </c>
      <c r="L11">
        <v>83</v>
      </c>
      <c r="M11">
        <v>1</v>
      </c>
      <c r="N11" t="s">
        <v>134</v>
      </c>
      <c r="O11" s="1">
        <v>7.1666452910482104</v>
      </c>
      <c r="P11" t="s">
        <v>145</v>
      </c>
      <c r="Q11" t="s">
        <v>152</v>
      </c>
      <c r="R11">
        <v>29</v>
      </c>
      <c r="S11">
        <v>963</v>
      </c>
      <c r="T11">
        <v>23</v>
      </c>
      <c r="U11">
        <v>47.957601634951502</v>
      </c>
      <c r="V11" t="s">
        <v>133</v>
      </c>
      <c r="W11" s="2">
        <f t="shared" si="2"/>
        <v>384.46144787675797</v>
      </c>
      <c r="X11">
        <v>3.8446144787675798</v>
      </c>
      <c r="Y11" t="s">
        <v>139</v>
      </c>
      <c r="Z11" t="s">
        <v>142</v>
      </c>
      <c r="AA11">
        <v>995.92946149864099</v>
      </c>
    </row>
    <row r="12" spans="1:27" x14ac:dyDescent="0.35">
      <c r="A12" t="s">
        <v>23</v>
      </c>
      <c r="B12" t="s">
        <v>34</v>
      </c>
      <c r="C12" s="1">
        <v>15.707795681912099</v>
      </c>
      <c r="D12" s="2">
        <v>11</v>
      </c>
      <c r="E12">
        <v>996</v>
      </c>
      <c r="F12" s="1">
        <f t="shared" si="0"/>
        <v>-13313.998697092511</v>
      </c>
      <c r="G12">
        <f t="shared" si="1"/>
        <v>15644.964499184451</v>
      </c>
      <c r="H12" s="1">
        <v>2330.9658020919401</v>
      </c>
      <c r="I12" t="s">
        <v>127</v>
      </c>
      <c r="J12">
        <v>51</v>
      </c>
      <c r="K12">
        <v>13</v>
      </c>
      <c r="L12">
        <v>80</v>
      </c>
      <c r="M12">
        <v>2</v>
      </c>
      <c r="N12" t="s">
        <v>136</v>
      </c>
      <c r="O12" s="1">
        <v>8.6732112112786108</v>
      </c>
      <c r="P12" t="s">
        <v>148</v>
      </c>
      <c r="Q12" t="s">
        <v>151</v>
      </c>
      <c r="R12">
        <v>18</v>
      </c>
      <c r="S12">
        <v>830</v>
      </c>
      <c r="T12">
        <v>5</v>
      </c>
      <c r="U12">
        <v>96.527352785310896</v>
      </c>
      <c r="V12" t="s">
        <v>131</v>
      </c>
      <c r="W12" s="2">
        <f t="shared" si="2"/>
        <v>172.73139283559399</v>
      </c>
      <c r="X12">
        <v>1.72731392835594</v>
      </c>
      <c r="Y12" t="s">
        <v>137</v>
      </c>
      <c r="Z12" t="s">
        <v>142</v>
      </c>
      <c r="AA12">
        <v>806.10317770292295</v>
      </c>
    </row>
    <row r="13" spans="1:27" x14ac:dyDescent="0.35">
      <c r="A13" t="s">
        <v>23</v>
      </c>
      <c r="B13" t="s">
        <v>35</v>
      </c>
      <c r="C13" s="1">
        <v>90.635459982288594</v>
      </c>
      <c r="D13" s="2">
        <v>95</v>
      </c>
      <c r="E13">
        <v>960</v>
      </c>
      <c r="F13" s="1">
        <f t="shared" si="0"/>
        <v>-80910.097467415588</v>
      </c>
      <c r="G13">
        <f t="shared" si="1"/>
        <v>87010.041582997044</v>
      </c>
      <c r="H13" s="1">
        <v>6099.9441155814502</v>
      </c>
      <c r="I13" t="s">
        <v>129</v>
      </c>
      <c r="J13">
        <v>46</v>
      </c>
      <c r="K13">
        <v>23</v>
      </c>
      <c r="L13">
        <v>60</v>
      </c>
      <c r="M13">
        <v>1</v>
      </c>
      <c r="N13" t="s">
        <v>134</v>
      </c>
      <c r="O13" s="1">
        <v>4.5239431243166601</v>
      </c>
      <c r="P13" t="s">
        <v>145</v>
      </c>
      <c r="Q13" t="s">
        <v>151</v>
      </c>
      <c r="R13">
        <v>28</v>
      </c>
      <c r="S13">
        <v>362</v>
      </c>
      <c r="T13">
        <v>11</v>
      </c>
      <c r="U13">
        <v>27.5923630866636</v>
      </c>
      <c r="V13" t="s">
        <v>133</v>
      </c>
      <c r="W13" s="2">
        <f t="shared" si="2"/>
        <v>2.1169821372994302</v>
      </c>
      <c r="X13">
        <v>2.1169821372994301E-2</v>
      </c>
      <c r="Y13" t="s">
        <v>138</v>
      </c>
      <c r="Z13" t="s">
        <v>141</v>
      </c>
      <c r="AA13">
        <v>126.72303340940699</v>
      </c>
    </row>
    <row r="14" spans="1:27" x14ac:dyDescent="0.35">
      <c r="A14" t="s">
        <v>21</v>
      </c>
      <c r="B14" t="s">
        <v>36</v>
      </c>
      <c r="C14" s="1">
        <v>71.213389075359999</v>
      </c>
      <c r="D14" s="2">
        <v>41</v>
      </c>
      <c r="E14">
        <v>336</v>
      </c>
      <c r="F14" s="1">
        <f t="shared" si="0"/>
        <v>-21053.957283299522</v>
      </c>
      <c r="G14">
        <f t="shared" si="1"/>
        <v>23927.69872932096</v>
      </c>
      <c r="H14" s="1">
        <v>2873.74144602144</v>
      </c>
      <c r="I14" t="s">
        <v>128</v>
      </c>
      <c r="J14">
        <v>100</v>
      </c>
      <c r="K14">
        <v>30</v>
      </c>
      <c r="L14">
        <v>85</v>
      </c>
      <c r="M14">
        <v>4</v>
      </c>
      <c r="N14" t="s">
        <v>134</v>
      </c>
      <c r="O14" s="1">
        <v>1.32527401018452</v>
      </c>
      <c r="P14" t="s">
        <v>147</v>
      </c>
      <c r="Q14" t="s">
        <v>151</v>
      </c>
      <c r="R14">
        <v>3</v>
      </c>
      <c r="S14">
        <v>563</v>
      </c>
      <c r="T14">
        <v>3</v>
      </c>
      <c r="U14">
        <v>32.321286213424003</v>
      </c>
      <c r="V14" t="s">
        <v>132</v>
      </c>
      <c r="W14" s="2">
        <f t="shared" si="2"/>
        <v>216.125374755591</v>
      </c>
      <c r="X14">
        <v>2.1612537475559099</v>
      </c>
      <c r="Y14" t="s">
        <v>137</v>
      </c>
      <c r="Z14" t="s">
        <v>142</v>
      </c>
      <c r="AA14">
        <v>402.96878907376998</v>
      </c>
    </row>
    <row r="15" spans="1:27" x14ac:dyDescent="0.35">
      <c r="A15" t="s">
        <v>23</v>
      </c>
      <c r="B15" t="s">
        <v>37</v>
      </c>
      <c r="C15" s="1">
        <v>16.160393317379899</v>
      </c>
      <c r="D15" s="2">
        <v>5</v>
      </c>
      <c r="E15">
        <v>249</v>
      </c>
      <c r="F15" s="1">
        <f t="shared" si="0"/>
        <v>28.80048021026505</v>
      </c>
      <c r="G15">
        <f t="shared" si="1"/>
        <v>4023.9379360275948</v>
      </c>
      <c r="H15" s="1">
        <v>4052.7384162378598</v>
      </c>
      <c r="I15" t="s">
        <v>130</v>
      </c>
      <c r="J15">
        <v>80</v>
      </c>
      <c r="K15">
        <v>8</v>
      </c>
      <c r="L15">
        <v>48</v>
      </c>
      <c r="M15">
        <v>9</v>
      </c>
      <c r="N15" t="s">
        <v>134</v>
      </c>
      <c r="O15" s="1">
        <v>9.5372830611083295</v>
      </c>
      <c r="P15" t="s">
        <v>148</v>
      </c>
      <c r="Q15" t="s">
        <v>153</v>
      </c>
      <c r="R15">
        <v>23</v>
      </c>
      <c r="S15">
        <v>173</v>
      </c>
      <c r="T15">
        <v>10</v>
      </c>
      <c r="U15">
        <v>97.829050110173199</v>
      </c>
      <c r="V15" t="s">
        <v>133</v>
      </c>
      <c r="W15" s="2">
        <f t="shared" si="2"/>
        <v>163.10742300715299</v>
      </c>
      <c r="X15">
        <v>1.63107423007153</v>
      </c>
      <c r="Y15" t="s">
        <v>137</v>
      </c>
      <c r="Z15" t="s">
        <v>142</v>
      </c>
      <c r="AA15">
        <v>547.24100516096803</v>
      </c>
    </row>
    <row r="16" spans="1:27" x14ac:dyDescent="0.35">
      <c r="A16" t="s">
        <v>23</v>
      </c>
      <c r="B16" t="s">
        <v>38</v>
      </c>
      <c r="C16" s="1">
        <v>99.171328638624104</v>
      </c>
      <c r="D16" s="2">
        <v>26</v>
      </c>
      <c r="E16">
        <v>562</v>
      </c>
      <c r="F16" s="1">
        <f t="shared" si="0"/>
        <v>-47080.715768436945</v>
      </c>
      <c r="G16">
        <f t="shared" si="1"/>
        <v>55734.286694906747</v>
      </c>
      <c r="H16" s="1">
        <v>8653.5709264697998</v>
      </c>
      <c r="I16" t="s">
        <v>127</v>
      </c>
      <c r="J16">
        <v>54</v>
      </c>
      <c r="K16">
        <v>29</v>
      </c>
      <c r="L16">
        <v>78</v>
      </c>
      <c r="M16">
        <v>5</v>
      </c>
      <c r="N16" t="s">
        <v>135</v>
      </c>
      <c r="O16" s="1">
        <v>2.0397701894493299</v>
      </c>
      <c r="P16" t="s">
        <v>144</v>
      </c>
      <c r="Q16" t="s">
        <v>151</v>
      </c>
      <c r="R16">
        <v>25</v>
      </c>
      <c r="S16">
        <v>558</v>
      </c>
      <c r="T16">
        <v>14</v>
      </c>
      <c r="U16">
        <v>5.7914366298629796</v>
      </c>
      <c r="V16" t="s">
        <v>133</v>
      </c>
      <c r="W16" s="2">
        <f t="shared" si="2"/>
        <v>10.068285156509301</v>
      </c>
      <c r="X16">
        <v>0.100682851565093</v>
      </c>
      <c r="Y16" t="s">
        <v>138</v>
      </c>
      <c r="Z16" t="s">
        <v>142</v>
      </c>
      <c r="AA16">
        <v>929.23528996088896</v>
      </c>
    </row>
    <row r="17" spans="1:27" x14ac:dyDescent="0.35">
      <c r="A17" t="s">
        <v>23</v>
      </c>
      <c r="B17" t="s">
        <v>39</v>
      </c>
      <c r="C17" s="1">
        <v>36.989244928626903</v>
      </c>
      <c r="D17" s="2">
        <v>94</v>
      </c>
      <c r="E17">
        <v>469</v>
      </c>
      <c r="F17" s="1">
        <f t="shared" si="0"/>
        <v>-11905.869086128347</v>
      </c>
      <c r="G17">
        <f t="shared" si="1"/>
        <v>17347.955871526017</v>
      </c>
      <c r="H17" s="1">
        <v>5442.0867853976697</v>
      </c>
      <c r="I17" t="s">
        <v>127</v>
      </c>
      <c r="J17">
        <v>9</v>
      </c>
      <c r="K17">
        <v>8</v>
      </c>
      <c r="L17">
        <v>69</v>
      </c>
      <c r="M17">
        <v>7</v>
      </c>
      <c r="N17" t="s">
        <v>135</v>
      </c>
      <c r="O17" s="1">
        <v>2.4220397232752</v>
      </c>
      <c r="P17" t="s">
        <v>144</v>
      </c>
      <c r="Q17" t="s">
        <v>153</v>
      </c>
      <c r="R17">
        <v>14</v>
      </c>
      <c r="S17">
        <v>580</v>
      </c>
      <c r="T17">
        <v>7</v>
      </c>
      <c r="U17">
        <v>97.121281751474299</v>
      </c>
      <c r="V17" t="s">
        <v>131</v>
      </c>
      <c r="W17" s="2">
        <f t="shared" si="2"/>
        <v>226.44057611985403</v>
      </c>
      <c r="X17">
        <v>2.2644057611985402</v>
      </c>
      <c r="Y17" t="s">
        <v>140</v>
      </c>
      <c r="Z17" t="s">
        <v>142</v>
      </c>
      <c r="AA17">
        <v>127.861800001625</v>
      </c>
    </row>
    <row r="18" spans="1:27" x14ac:dyDescent="0.35">
      <c r="A18" t="s">
        <v>23</v>
      </c>
      <c r="B18" t="s">
        <v>40</v>
      </c>
      <c r="C18" s="1">
        <v>7.5471721097912701</v>
      </c>
      <c r="D18" s="2">
        <v>74</v>
      </c>
      <c r="E18">
        <v>280</v>
      </c>
      <c r="F18" s="1">
        <f t="shared" si="0"/>
        <v>4340.589777434725</v>
      </c>
      <c r="G18">
        <f t="shared" si="1"/>
        <v>2113.2081907415554</v>
      </c>
      <c r="H18" s="1">
        <v>6453.7979681762799</v>
      </c>
      <c r="I18" t="s">
        <v>129</v>
      </c>
      <c r="J18">
        <v>2</v>
      </c>
      <c r="K18">
        <v>5</v>
      </c>
      <c r="L18">
        <v>78</v>
      </c>
      <c r="M18">
        <v>1</v>
      </c>
      <c r="N18" t="s">
        <v>135</v>
      </c>
      <c r="O18" s="1">
        <v>4.1913245857054999</v>
      </c>
      <c r="P18" t="s">
        <v>144</v>
      </c>
      <c r="Q18" t="s">
        <v>153</v>
      </c>
      <c r="R18">
        <v>3</v>
      </c>
      <c r="S18">
        <v>399</v>
      </c>
      <c r="T18">
        <v>21</v>
      </c>
      <c r="U18">
        <v>77.106342497849994</v>
      </c>
      <c r="V18" t="s">
        <v>131</v>
      </c>
      <c r="W18" s="2">
        <f t="shared" si="2"/>
        <v>101.25630892580399</v>
      </c>
      <c r="X18">
        <v>1.01256308925804</v>
      </c>
      <c r="Y18" t="s">
        <v>138</v>
      </c>
      <c r="Z18" t="s">
        <v>141</v>
      </c>
      <c r="AA18">
        <v>865.52577977123997</v>
      </c>
    </row>
    <row r="19" spans="1:27" x14ac:dyDescent="0.35">
      <c r="A19" t="s">
        <v>30</v>
      </c>
      <c r="B19" t="s">
        <v>41</v>
      </c>
      <c r="C19" s="1">
        <v>81.462534369237005</v>
      </c>
      <c r="D19" s="2">
        <v>82</v>
      </c>
      <c r="E19">
        <v>126</v>
      </c>
      <c r="F19" s="1">
        <f t="shared" si="0"/>
        <v>-7634.8828956786028</v>
      </c>
      <c r="G19">
        <f t="shared" si="1"/>
        <v>10264.279330523863</v>
      </c>
      <c r="H19" s="1">
        <v>2629.39643484526</v>
      </c>
      <c r="I19" t="s">
        <v>129</v>
      </c>
      <c r="J19">
        <v>45</v>
      </c>
      <c r="K19">
        <v>17</v>
      </c>
      <c r="L19">
        <v>85</v>
      </c>
      <c r="M19">
        <v>9</v>
      </c>
      <c r="N19" t="s">
        <v>136</v>
      </c>
      <c r="O19" s="1">
        <v>3.5854189582323399</v>
      </c>
      <c r="P19" t="s">
        <v>144</v>
      </c>
      <c r="Q19" t="s">
        <v>152</v>
      </c>
      <c r="R19">
        <v>7</v>
      </c>
      <c r="S19">
        <v>453</v>
      </c>
      <c r="T19">
        <v>16</v>
      </c>
      <c r="U19">
        <v>47.679680368355299</v>
      </c>
      <c r="V19" t="s">
        <v>132</v>
      </c>
      <c r="W19" s="2">
        <f t="shared" si="2"/>
        <v>10.202075491817601</v>
      </c>
      <c r="X19">
        <v>0.102020754918176</v>
      </c>
      <c r="Y19" t="s">
        <v>138</v>
      </c>
      <c r="Z19" t="s">
        <v>143</v>
      </c>
      <c r="AA19">
        <v>670.93439079241</v>
      </c>
    </row>
    <row r="20" spans="1:27" x14ac:dyDescent="0.35">
      <c r="A20" t="s">
        <v>21</v>
      </c>
      <c r="B20" t="s">
        <v>42</v>
      </c>
      <c r="C20" s="1">
        <v>36.4436277704609</v>
      </c>
      <c r="D20" s="2">
        <v>23</v>
      </c>
      <c r="E20">
        <v>620</v>
      </c>
      <c r="F20" s="1">
        <f t="shared" si="0"/>
        <v>-13230.375712609588</v>
      </c>
      <c r="G20">
        <f t="shared" si="1"/>
        <v>22595.049217685759</v>
      </c>
      <c r="H20" s="1">
        <v>9364.6735050761708</v>
      </c>
      <c r="I20" t="s">
        <v>128</v>
      </c>
      <c r="J20">
        <v>10</v>
      </c>
      <c r="K20">
        <v>10</v>
      </c>
      <c r="L20">
        <v>46</v>
      </c>
      <c r="M20">
        <v>8</v>
      </c>
      <c r="N20" t="s">
        <v>136</v>
      </c>
      <c r="O20" s="1">
        <v>4.3392247141107001</v>
      </c>
      <c r="P20" t="s">
        <v>145</v>
      </c>
      <c r="Q20" t="s">
        <v>151</v>
      </c>
      <c r="R20">
        <v>18</v>
      </c>
      <c r="S20">
        <v>374</v>
      </c>
      <c r="T20">
        <v>17</v>
      </c>
      <c r="U20">
        <v>27.107980854843898</v>
      </c>
      <c r="V20" t="s">
        <v>133</v>
      </c>
      <c r="W20" s="2">
        <f t="shared" si="2"/>
        <v>223.193911072926</v>
      </c>
      <c r="X20">
        <v>2.2319391107292601</v>
      </c>
      <c r="Y20" t="s">
        <v>140</v>
      </c>
      <c r="Z20" t="s">
        <v>141</v>
      </c>
      <c r="AA20">
        <v>593.48025872065102</v>
      </c>
    </row>
    <row r="21" spans="1:27" x14ac:dyDescent="0.35">
      <c r="A21" t="s">
        <v>23</v>
      </c>
      <c r="B21" t="s">
        <v>43</v>
      </c>
      <c r="C21" s="1">
        <v>51.123870087964697</v>
      </c>
      <c r="D21" s="2">
        <v>100</v>
      </c>
      <c r="E21">
        <v>187</v>
      </c>
      <c r="F21" s="1">
        <f t="shared" si="0"/>
        <v>-7006.6681214581895</v>
      </c>
      <c r="G21">
        <f t="shared" si="1"/>
        <v>9560.1637064493989</v>
      </c>
      <c r="H21" s="1">
        <v>2553.4955849912099</v>
      </c>
      <c r="I21" t="s">
        <v>128</v>
      </c>
      <c r="J21">
        <v>48</v>
      </c>
      <c r="K21">
        <v>11</v>
      </c>
      <c r="L21">
        <v>94</v>
      </c>
      <c r="M21">
        <v>3</v>
      </c>
      <c r="N21" t="s">
        <v>134</v>
      </c>
      <c r="O21" s="1">
        <v>4.7426358828418698</v>
      </c>
      <c r="P21" t="s">
        <v>147</v>
      </c>
      <c r="Q21" t="s">
        <v>152</v>
      </c>
      <c r="R21">
        <v>20</v>
      </c>
      <c r="S21">
        <v>694</v>
      </c>
      <c r="T21">
        <v>16</v>
      </c>
      <c r="U21">
        <v>82.373320587990193</v>
      </c>
      <c r="V21" t="s">
        <v>132</v>
      </c>
      <c r="W21" s="2">
        <f t="shared" si="2"/>
        <v>364.64508654170203</v>
      </c>
      <c r="X21">
        <v>3.64645086541702</v>
      </c>
      <c r="Y21" t="s">
        <v>137</v>
      </c>
      <c r="Z21" t="s">
        <v>143</v>
      </c>
      <c r="AA21">
        <v>477.30763109090299</v>
      </c>
    </row>
    <row r="22" spans="1:27" x14ac:dyDescent="0.35">
      <c r="A22" t="s">
        <v>23</v>
      </c>
      <c r="B22" t="s">
        <v>44</v>
      </c>
      <c r="C22" s="1">
        <v>96.341072439963298</v>
      </c>
      <c r="D22" s="2">
        <v>22</v>
      </c>
      <c r="E22">
        <v>320</v>
      </c>
      <c r="F22" s="1">
        <f t="shared" si="0"/>
        <v>-22701.115483937065</v>
      </c>
      <c r="G22">
        <f t="shared" si="1"/>
        <v>30829.143180788255</v>
      </c>
      <c r="H22" s="1">
        <v>8128.0276968511898</v>
      </c>
      <c r="I22" t="s">
        <v>128</v>
      </c>
      <c r="J22">
        <v>27</v>
      </c>
      <c r="K22">
        <v>12</v>
      </c>
      <c r="L22">
        <v>68</v>
      </c>
      <c r="M22">
        <v>6</v>
      </c>
      <c r="N22" t="s">
        <v>134</v>
      </c>
      <c r="O22" s="1">
        <v>8.8783346509268402</v>
      </c>
      <c r="P22" t="s">
        <v>144</v>
      </c>
      <c r="Q22" t="s">
        <v>152</v>
      </c>
      <c r="R22">
        <v>29</v>
      </c>
      <c r="S22">
        <v>309</v>
      </c>
      <c r="T22">
        <v>6</v>
      </c>
      <c r="U22">
        <v>65.686259608488598</v>
      </c>
      <c r="V22" t="s">
        <v>131</v>
      </c>
      <c r="W22" s="2">
        <f t="shared" si="2"/>
        <v>423.14165735345301</v>
      </c>
      <c r="X22">
        <v>4.2314165735345304</v>
      </c>
      <c r="Y22" t="s">
        <v>138</v>
      </c>
      <c r="Z22" t="s">
        <v>142</v>
      </c>
      <c r="AA22">
        <v>493.871215316205</v>
      </c>
    </row>
    <row r="23" spans="1:27" x14ac:dyDescent="0.35">
      <c r="A23" t="s">
        <v>30</v>
      </c>
      <c r="B23" t="s">
        <v>45</v>
      </c>
      <c r="C23" s="1">
        <v>84.893868984950799</v>
      </c>
      <c r="D23" s="2">
        <v>60</v>
      </c>
      <c r="E23">
        <v>601</v>
      </c>
      <c r="F23" s="1">
        <f t="shared" si="0"/>
        <v>-43934.162563598002</v>
      </c>
      <c r="G23">
        <f t="shared" si="1"/>
        <v>51021.215259955432</v>
      </c>
      <c r="H23" s="1">
        <v>7087.0526963574302</v>
      </c>
      <c r="I23" t="s">
        <v>128</v>
      </c>
      <c r="J23">
        <v>69</v>
      </c>
      <c r="K23">
        <v>25</v>
      </c>
      <c r="L23">
        <v>7</v>
      </c>
      <c r="M23">
        <v>6</v>
      </c>
      <c r="N23" t="s">
        <v>135</v>
      </c>
      <c r="O23" s="1">
        <v>6.0378837692182898</v>
      </c>
      <c r="P23" t="s">
        <v>148</v>
      </c>
      <c r="Q23" t="s">
        <v>152</v>
      </c>
      <c r="R23">
        <v>19</v>
      </c>
      <c r="S23">
        <v>791</v>
      </c>
      <c r="T23">
        <v>4</v>
      </c>
      <c r="U23">
        <v>61.735728954160898</v>
      </c>
      <c r="V23" t="s">
        <v>133</v>
      </c>
      <c r="W23" s="2">
        <f t="shared" si="2"/>
        <v>1.8607567631014899</v>
      </c>
      <c r="X23">
        <v>1.8607567631014899E-2</v>
      </c>
      <c r="Y23" t="s">
        <v>138</v>
      </c>
      <c r="Z23" t="s">
        <v>143</v>
      </c>
      <c r="AA23">
        <v>523.36091472015801</v>
      </c>
    </row>
    <row r="24" spans="1:27" x14ac:dyDescent="0.35">
      <c r="A24" t="s">
        <v>21</v>
      </c>
      <c r="B24" t="s">
        <v>46</v>
      </c>
      <c r="C24" s="1">
        <v>27.679780886501899</v>
      </c>
      <c r="D24" s="2">
        <v>55</v>
      </c>
      <c r="E24">
        <v>884</v>
      </c>
      <c r="F24" s="1">
        <f t="shared" si="0"/>
        <v>-22078.118437111509</v>
      </c>
      <c r="G24">
        <f t="shared" si="1"/>
        <v>24468.926303667678</v>
      </c>
      <c r="H24" s="1">
        <v>2390.8078665561702</v>
      </c>
      <c r="I24" t="s">
        <v>128</v>
      </c>
      <c r="J24">
        <v>71</v>
      </c>
      <c r="K24">
        <v>1</v>
      </c>
      <c r="L24">
        <v>63</v>
      </c>
      <c r="M24">
        <v>10</v>
      </c>
      <c r="N24" t="s">
        <v>134</v>
      </c>
      <c r="O24" s="1">
        <v>9.5676489209230393</v>
      </c>
      <c r="P24" t="s">
        <v>147</v>
      </c>
      <c r="Q24" t="s">
        <v>151</v>
      </c>
      <c r="R24">
        <v>22</v>
      </c>
      <c r="S24">
        <v>780</v>
      </c>
      <c r="T24">
        <v>28</v>
      </c>
      <c r="U24">
        <v>50.120839612977299</v>
      </c>
      <c r="V24" t="s">
        <v>132</v>
      </c>
      <c r="W24" s="2">
        <f t="shared" si="2"/>
        <v>259.12754732111097</v>
      </c>
      <c r="X24">
        <v>2.5912754732111098</v>
      </c>
      <c r="Y24" t="s">
        <v>139</v>
      </c>
      <c r="Z24" t="s">
        <v>143</v>
      </c>
      <c r="AA24">
        <v>205.57199582694699</v>
      </c>
    </row>
    <row r="25" spans="1:27" x14ac:dyDescent="0.35">
      <c r="A25" t="s">
        <v>30</v>
      </c>
      <c r="B25" t="s">
        <v>47</v>
      </c>
      <c r="C25" s="1">
        <v>4.3243411858641601</v>
      </c>
      <c r="D25" s="2">
        <v>30</v>
      </c>
      <c r="E25">
        <v>391</v>
      </c>
      <c r="F25" s="1">
        <f t="shared" si="0"/>
        <v>7167.5501673385934</v>
      </c>
      <c r="G25">
        <f t="shared" si="1"/>
        <v>1690.8174036728865</v>
      </c>
      <c r="H25" s="1">
        <v>8858.3675710114803</v>
      </c>
      <c r="I25" t="s">
        <v>128</v>
      </c>
      <c r="J25">
        <v>84</v>
      </c>
      <c r="K25">
        <v>5</v>
      </c>
      <c r="L25">
        <v>29</v>
      </c>
      <c r="M25">
        <v>7</v>
      </c>
      <c r="N25" t="s">
        <v>134</v>
      </c>
      <c r="O25" s="1">
        <v>2.92485760114555</v>
      </c>
      <c r="P25" t="s">
        <v>148</v>
      </c>
      <c r="Q25" t="s">
        <v>151</v>
      </c>
      <c r="R25">
        <v>11</v>
      </c>
      <c r="S25">
        <v>568</v>
      </c>
      <c r="T25">
        <v>29</v>
      </c>
      <c r="U25">
        <v>98.6099572427038</v>
      </c>
      <c r="V25" t="s">
        <v>133</v>
      </c>
      <c r="W25" s="2">
        <f t="shared" si="2"/>
        <v>134.229156272273</v>
      </c>
      <c r="X25">
        <v>1.3422915627227301</v>
      </c>
      <c r="Y25" t="s">
        <v>139</v>
      </c>
      <c r="Z25" t="s">
        <v>141</v>
      </c>
      <c r="AA25">
        <v>196.329446112412</v>
      </c>
    </row>
    <row r="26" spans="1:27" x14ac:dyDescent="0.35">
      <c r="A26" t="s">
        <v>21</v>
      </c>
      <c r="B26" t="s">
        <v>48</v>
      </c>
      <c r="C26" s="1">
        <v>4.1563083593111001</v>
      </c>
      <c r="D26" s="2">
        <v>32</v>
      </c>
      <c r="E26">
        <v>209</v>
      </c>
      <c r="F26" s="1">
        <f t="shared" si="0"/>
        <v>8180.4094138438695</v>
      </c>
      <c r="G26">
        <f t="shared" si="1"/>
        <v>868.66844709601992</v>
      </c>
      <c r="H26" s="1">
        <v>9049.0778609398894</v>
      </c>
      <c r="I26" t="s">
        <v>130</v>
      </c>
      <c r="J26">
        <v>4</v>
      </c>
      <c r="K26">
        <v>26</v>
      </c>
      <c r="L26">
        <v>2</v>
      </c>
      <c r="M26">
        <v>8</v>
      </c>
      <c r="N26" t="s">
        <v>136</v>
      </c>
      <c r="O26" s="1">
        <v>9.7412916892843597</v>
      </c>
      <c r="P26" t="s">
        <v>145</v>
      </c>
      <c r="Q26" t="s">
        <v>153</v>
      </c>
      <c r="R26">
        <v>28</v>
      </c>
      <c r="S26">
        <v>447</v>
      </c>
      <c r="T26">
        <v>3</v>
      </c>
      <c r="U26">
        <v>40.382359702924802</v>
      </c>
      <c r="V26" t="s">
        <v>133</v>
      </c>
      <c r="W26" s="2">
        <f t="shared" si="2"/>
        <v>369.131029262872</v>
      </c>
      <c r="X26">
        <v>3.69131029262872</v>
      </c>
      <c r="Y26" t="s">
        <v>138</v>
      </c>
      <c r="Z26" t="s">
        <v>141</v>
      </c>
      <c r="AA26">
        <v>758.72477260293795</v>
      </c>
    </row>
    <row r="27" spans="1:27" x14ac:dyDescent="0.35">
      <c r="A27" t="s">
        <v>21</v>
      </c>
      <c r="B27" t="s">
        <v>49</v>
      </c>
      <c r="C27" s="1">
        <v>39.629343985092603</v>
      </c>
      <c r="D27" s="2">
        <v>73</v>
      </c>
      <c r="E27">
        <v>142</v>
      </c>
      <c r="F27" s="1">
        <f t="shared" si="0"/>
        <v>-3452.5897915324999</v>
      </c>
      <c r="G27">
        <f t="shared" si="1"/>
        <v>5627.3668458831498</v>
      </c>
      <c r="H27" s="1">
        <v>2174.7770543506499</v>
      </c>
      <c r="I27" t="s">
        <v>130</v>
      </c>
      <c r="J27">
        <v>82</v>
      </c>
      <c r="K27">
        <v>11</v>
      </c>
      <c r="L27">
        <v>52</v>
      </c>
      <c r="M27">
        <v>3</v>
      </c>
      <c r="N27" t="s">
        <v>136</v>
      </c>
      <c r="O27" s="1">
        <v>2.2310736812817198</v>
      </c>
      <c r="P27" t="s">
        <v>147</v>
      </c>
      <c r="Q27" t="s">
        <v>151</v>
      </c>
      <c r="R27">
        <v>19</v>
      </c>
      <c r="S27">
        <v>934</v>
      </c>
      <c r="T27">
        <v>23</v>
      </c>
      <c r="U27">
        <v>78.280383118415301</v>
      </c>
      <c r="V27" t="s">
        <v>133</v>
      </c>
      <c r="W27" s="2">
        <f t="shared" si="2"/>
        <v>379.723121711418</v>
      </c>
      <c r="X27">
        <v>3.79723121711418</v>
      </c>
      <c r="Y27" t="s">
        <v>137</v>
      </c>
      <c r="Z27" t="s">
        <v>142</v>
      </c>
      <c r="AA27">
        <v>458.53594573920901</v>
      </c>
    </row>
    <row r="28" spans="1:27" x14ac:dyDescent="0.35">
      <c r="A28" t="s">
        <v>21</v>
      </c>
      <c r="B28" t="s">
        <v>50</v>
      </c>
      <c r="C28" s="1">
        <v>97.446946617892806</v>
      </c>
      <c r="D28" s="2">
        <v>9</v>
      </c>
      <c r="E28">
        <v>353</v>
      </c>
      <c r="F28" s="1">
        <f t="shared" si="0"/>
        <v>-30682.278830222131</v>
      </c>
      <c r="G28">
        <f t="shared" si="1"/>
        <v>34398.77215611616</v>
      </c>
      <c r="H28" s="1">
        <v>3716.49332589403</v>
      </c>
      <c r="I28" t="s">
        <v>130</v>
      </c>
      <c r="J28">
        <v>59</v>
      </c>
      <c r="K28">
        <v>16</v>
      </c>
      <c r="L28">
        <v>48</v>
      </c>
      <c r="M28">
        <v>4</v>
      </c>
      <c r="N28" t="s">
        <v>135</v>
      </c>
      <c r="O28" s="1">
        <v>6.5075486210785503</v>
      </c>
      <c r="P28" t="s">
        <v>145</v>
      </c>
      <c r="Q28" t="s">
        <v>153</v>
      </c>
      <c r="R28">
        <v>26</v>
      </c>
      <c r="S28">
        <v>171</v>
      </c>
      <c r="T28">
        <v>4</v>
      </c>
      <c r="U28">
        <v>15.972229757181699</v>
      </c>
      <c r="V28" t="s">
        <v>131</v>
      </c>
      <c r="W28" s="2">
        <f t="shared" si="2"/>
        <v>211.93197367249201</v>
      </c>
      <c r="X28">
        <v>2.1193197367249201</v>
      </c>
      <c r="Y28" t="s">
        <v>139</v>
      </c>
      <c r="Z28" t="s">
        <v>141</v>
      </c>
      <c r="AA28">
        <v>617.86691645837698</v>
      </c>
    </row>
    <row r="29" spans="1:27" x14ac:dyDescent="0.35">
      <c r="A29" t="s">
        <v>30</v>
      </c>
      <c r="B29" t="s">
        <v>51</v>
      </c>
      <c r="C29" s="1">
        <v>92.557360812401996</v>
      </c>
      <c r="D29" s="2">
        <v>42</v>
      </c>
      <c r="E29">
        <v>352</v>
      </c>
      <c r="F29" s="1">
        <f t="shared" si="0"/>
        <v>-29893.733782389521</v>
      </c>
      <c r="G29">
        <f t="shared" si="1"/>
        <v>32580.191005965502</v>
      </c>
      <c r="H29" s="1">
        <v>2686.4572235759802</v>
      </c>
      <c r="I29" t="s">
        <v>128</v>
      </c>
      <c r="J29">
        <v>47</v>
      </c>
      <c r="K29">
        <v>9</v>
      </c>
      <c r="L29">
        <v>62</v>
      </c>
      <c r="M29">
        <v>8</v>
      </c>
      <c r="N29" t="s">
        <v>136</v>
      </c>
      <c r="O29" s="1">
        <v>7.4067509529980704</v>
      </c>
      <c r="P29" t="s">
        <v>148</v>
      </c>
      <c r="Q29" t="s">
        <v>149</v>
      </c>
      <c r="R29">
        <v>25</v>
      </c>
      <c r="S29">
        <v>291</v>
      </c>
      <c r="T29">
        <v>4</v>
      </c>
      <c r="U29">
        <v>10.5282450700421</v>
      </c>
      <c r="V29" t="s">
        <v>132</v>
      </c>
      <c r="W29" s="2">
        <f t="shared" si="2"/>
        <v>286.46678378833701</v>
      </c>
      <c r="X29">
        <v>2.8646678378833701</v>
      </c>
      <c r="Y29" t="s">
        <v>140</v>
      </c>
      <c r="Z29" t="s">
        <v>142</v>
      </c>
      <c r="AA29">
        <v>762.45918215568304</v>
      </c>
    </row>
    <row r="30" spans="1:27" x14ac:dyDescent="0.35">
      <c r="A30" t="s">
        <v>30</v>
      </c>
      <c r="B30" t="s">
        <v>52</v>
      </c>
      <c r="C30" s="1">
        <v>2.3972747055971402</v>
      </c>
      <c r="D30" s="2">
        <v>12</v>
      </c>
      <c r="E30">
        <v>394</v>
      </c>
      <c r="F30" s="1">
        <f t="shared" si="0"/>
        <v>5172.7983810787164</v>
      </c>
      <c r="G30">
        <f t="shared" si="1"/>
        <v>944.52623400527318</v>
      </c>
      <c r="H30" s="1">
        <v>6117.3246150839896</v>
      </c>
      <c r="I30" t="s">
        <v>129</v>
      </c>
      <c r="J30">
        <v>48</v>
      </c>
      <c r="K30">
        <v>15</v>
      </c>
      <c r="L30">
        <v>24</v>
      </c>
      <c r="M30">
        <v>4</v>
      </c>
      <c r="N30" t="s">
        <v>135</v>
      </c>
      <c r="O30" s="1">
        <v>9.8981405080692202</v>
      </c>
      <c r="P30" t="s">
        <v>144</v>
      </c>
      <c r="Q30" t="s">
        <v>149</v>
      </c>
      <c r="R30">
        <v>13</v>
      </c>
      <c r="S30">
        <v>171</v>
      </c>
      <c r="T30">
        <v>7</v>
      </c>
      <c r="U30">
        <v>59.429381810691503</v>
      </c>
      <c r="V30" t="s">
        <v>132</v>
      </c>
      <c r="W30" s="2">
        <f t="shared" si="2"/>
        <v>81.575707929567201</v>
      </c>
      <c r="X30">
        <v>0.81575707929567198</v>
      </c>
      <c r="Y30" t="s">
        <v>138</v>
      </c>
      <c r="Z30" t="s">
        <v>141</v>
      </c>
      <c r="AA30">
        <v>123.437027511827</v>
      </c>
    </row>
    <row r="31" spans="1:27" x14ac:dyDescent="0.35">
      <c r="A31" t="s">
        <v>30</v>
      </c>
      <c r="B31" t="s">
        <v>53</v>
      </c>
      <c r="C31" s="1">
        <v>63.447559185207297</v>
      </c>
      <c r="D31" s="2">
        <v>3</v>
      </c>
      <c r="E31">
        <v>253</v>
      </c>
      <c r="F31" s="1">
        <f t="shared" si="0"/>
        <v>-7733.3292792402754</v>
      </c>
      <c r="G31">
        <f t="shared" si="1"/>
        <v>16052.232473857446</v>
      </c>
      <c r="H31" s="1">
        <v>8318.9031946171708</v>
      </c>
      <c r="I31" t="s">
        <v>129</v>
      </c>
      <c r="J31">
        <v>45</v>
      </c>
      <c r="K31">
        <v>5</v>
      </c>
      <c r="L31">
        <v>67</v>
      </c>
      <c r="M31">
        <v>7</v>
      </c>
      <c r="N31" t="s">
        <v>135</v>
      </c>
      <c r="O31" s="1">
        <v>8.1009731453970293</v>
      </c>
      <c r="P31" t="s">
        <v>144</v>
      </c>
      <c r="Q31" t="s">
        <v>151</v>
      </c>
      <c r="R31">
        <v>16</v>
      </c>
      <c r="S31">
        <v>329</v>
      </c>
      <c r="T31">
        <v>7</v>
      </c>
      <c r="U31">
        <v>39.292875586065698</v>
      </c>
      <c r="V31" t="s">
        <v>131</v>
      </c>
      <c r="W31" s="2">
        <f t="shared" si="2"/>
        <v>387.80989365884801</v>
      </c>
      <c r="X31">
        <v>3.8780989365884802</v>
      </c>
      <c r="Y31" t="s">
        <v>137</v>
      </c>
      <c r="Z31" t="s">
        <v>142</v>
      </c>
      <c r="AA31">
        <v>764.93537594070801</v>
      </c>
    </row>
    <row r="32" spans="1:27" x14ac:dyDescent="0.35">
      <c r="A32" t="s">
        <v>21</v>
      </c>
      <c r="B32" t="s">
        <v>54</v>
      </c>
      <c r="C32" s="1">
        <v>8.0228592105263896</v>
      </c>
      <c r="D32" s="2">
        <v>10</v>
      </c>
      <c r="E32">
        <v>327</v>
      </c>
      <c r="F32" s="1">
        <f t="shared" si="0"/>
        <v>142.8674050239506</v>
      </c>
      <c r="G32">
        <f t="shared" si="1"/>
        <v>2623.4749618421292</v>
      </c>
      <c r="H32" s="1">
        <v>2766.3423668660798</v>
      </c>
      <c r="I32" t="s">
        <v>130</v>
      </c>
      <c r="J32">
        <v>60</v>
      </c>
      <c r="K32">
        <v>26</v>
      </c>
      <c r="L32">
        <v>35</v>
      </c>
      <c r="M32">
        <v>7</v>
      </c>
      <c r="N32" t="s">
        <v>135</v>
      </c>
      <c r="O32" s="1">
        <v>8.9545283153180097</v>
      </c>
      <c r="P32" t="s">
        <v>147</v>
      </c>
      <c r="Q32" t="s">
        <v>151</v>
      </c>
      <c r="R32">
        <v>27</v>
      </c>
      <c r="S32">
        <v>806</v>
      </c>
      <c r="T32">
        <v>30</v>
      </c>
      <c r="U32">
        <v>51.634893400109299</v>
      </c>
      <c r="V32" t="s">
        <v>133</v>
      </c>
      <c r="W32" s="2">
        <f t="shared" si="2"/>
        <v>96.539470535239303</v>
      </c>
      <c r="X32">
        <v>0.96539470535239302</v>
      </c>
      <c r="Y32" t="s">
        <v>137</v>
      </c>
      <c r="Z32" t="s">
        <v>143</v>
      </c>
      <c r="AA32">
        <v>880.08098824716103</v>
      </c>
    </row>
    <row r="33" spans="1:27" x14ac:dyDescent="0.35">
      <c r="A33" t="s">
        <v>23</v>
      </c>
      <c r="B33" t="s">
        <v>55</v>
      </c>
      <c r="C33" s="1">
        <v>50.847393051718697</v>
      </c>
      <c r="D33" s="2">
        <v>28</v>
      </c>
      <c r="E33">
        <v>168</v>
      </c>
      <c r="F33" s="1">
        <f t="shared" si="0"/>
        <v>1112.7730700306493</v>
      </c>
      <c r="G33">
        <f t="shared" si="1"/>
        <v>8542.3620326887412</v>
      </c>
      <c r="H33" s="1">
        <v>9655.1351027193905</v>
      </c>
      <c r="I33" t="s">
        <v>130</v>
      </c>
      <c r="J33">
        <v>6</v>
      </c>
      <c r="K33">
        <v>17</v>
      </c>
      <c r="L33">
        <v>44</v>
      </c>
      <c r="M33">
        <v>4</v>
      </c>
      <c r="N33" t="s">
        <v>135</v>
      </c>
      <c r="O33" s="1">
        <v>2.6796609649813998</v>
      </c>
      <c r="P33" t="s">
        <v>146</v>
      </c>
      <c r="Q33" t="s">
        <v>152</v>
      </c>
      <c r="R33">
        <v>24</v>
      </c>
      <c r="S33">
        <v>461</v>
      </c>
      <c r="T33">
        <v>8</v>
      </c>
      <c r="U33">
        <v>60.251145661598002</v>
      </c>
      <c r="V33" t="s">
        <v>133</v>
      </c>
      <c r="W33" s="2">
        <f t="shared" si="2"/>
        <v>298.90000066550704</v>
      </c>
      <c r="X33">
        <v>2.9890000066550702</v>
      </c>
      <c r="Y33" t="s">
        <v>139</v>
      </c>
      <c r="Z33" t="s">
        <v>143</v>
      </c>
      <c r="AA33">
        <v>609.379206618426</v>
      </c>
    </row>
    <row r="34" spans="1:27" x14ac:dyDescent="0.35">
      <c r="A34" t="s">
        <v>23</v>
      </c>
      <c r="B34" t="s">
        <v>56</v>
      </c>
      <c r="C34" s="1">
        <v>79.209936015656695</v>
      </c>
      <c r="D34" s="2">
        <v>43</v>
      </c>
      <c r="E34">
        <v>781</v>
      </c>
      <c r="F34" s="1">
        <f t="shared" si="0"/>
        <v>-52291.409540900066</v>
      </c>
      <c r="G34">
        <f t="shared" si="1"/>
        <v>61862.960028227877</v>
      </c>
      <c r="H34" s="1">
        <v>9571.5504873278096</v>
      </c>
      <c r="I34" t="s">
        <v>128</v>
      </c>
      <c r="J34">
        <v>89</v>
      </c>
      <c r="K34">
        <v>13</v>
      </c>
      <c r="L34">
        <v>64</v>
      </c>
      <c r="M34">
        <v>4</v>
      </c>
      <c r="N34" t="s">
        <v>136</v>
      </c>
      <c r="O34" s="1">
        <v>6.5991049012385803</v>
      </c>
      <c r="P34" t="s">
        <v>146</v>
      </c>
      <c r="Q34" t="s">
        <v>151</v>
      </c>
      <c r="R34">
        <v>30</v>
      </c>
      <c r="S34">
        <v>737</v>
      </c>
      <c r="T34">
        <v>7</v>
      </c>
      <c r="U34">
        <v>29.6924671537497</v>
      </c>
      <c r="V34" t="s">
        <v>131</v>
      </c>
      <c r="W34" s="2">
        <f t="shared" si="2"/>
        <v>194.60361193861101</v>
      </c>
      <c r="X34">
        <v>1.94603611938611</v>
      </c>
      <c r="Y34" t="s">
        <v>137</v>
      </c>
      <c r="Z34" t="s">
        <v>141</v>
      </c>
      <c r="AA34">
        <v>761.17390951487698</v>
      </c>
    </row>
    <row r="35" spans="1:27" x14ac:dyDescent="0.35">
      <c r="A35" t="s">
        <v>30</v>
      </c>
      <c r="B35" t="s">
        <v>57</v>
      </c>
      <c r="C35" s="1">
        <v>64.795435000155607</v>
      </c>
      <c r="D35" s="2">
        <v>63</v>
      </c>
      <c r="E35">
        <v>616</v>
      </c>
      <c r="F35" s="1">
        <f t="shared" si="0"/>
        <v>-34763.989609687822</v>
      </c>
      <c r="G35">
        <f t="shared" si="1"/>
        <v>39913.987960095852</v>
      </c>
      <c r="H35" s="1">
        <v>5149.9983504080301</v>
      </c>
      <c r="I35" t="s">
        <v>127</v>
      </c>
      <c r="J35">
        <v>4</v>
      </c>
      <c r="K35">
        <v>17</v>
      </c>
      <c r="L35">
        <v>95</v>
      </c>
      <c r="M35">
        <v>9</v>
      </c>
      <c r="N35" t="s">
        <v>136</v>
      </c>
      <c r="O35" s="1">
        <v>4.85827050343664</v>
      </c>
      <c r="P35" t="s">
        <v>148</v>
      </c>
      <c r="Q35" t="s">
        <v>152</v>
      </c>
      <c r="R35">
        <v>1</v>
      </c>
      <c r="S35">
        <v>251</v>
      </c>
      <c r="T35">
        <v>23</v>
      </c>
      <c r="U35">
        <v>23.853427512896101</v>
      </c>
      <c r="V35" t="s">
        <v>132</v>
      </c>
      <c r="W35" s="2">
        <f t="shared" si="2"/>
        <v>354.10460122509198</v>
      </c>
      <c r="X35">
        <v>3.54104601225092</v>
      </c>
      <c r="Y35" t="s">
        <v>140</v>
      </c>
      <c r="Z35" t="s">
        <v>141</v>
      </c>
      <c r="AA35">
        <v>371.25529551987103</v>
      </c>
    </row>
    <row r="36" spans="1:27" x14ac:dyDescent="0.35">
      <c r="A36" t="s">
        <v>23</v>
      </c>
      <c r="B36" t="s">
        <v>58</v>
      </c>
      <c r="C36" s="1">
        <v>37.467592329842397</v>
      </c>
      <c r="D36" s="2">
        <v>96</v>
      </c>
      <c r="E36">
        <v>602</v>
      </c>
      <c r="F36" s="1">
        <f t="shared" si="0"/>
        <v>-13493.779687057402</v>
      </c>
      <c r="G36">
        <f t="shared" si="1"/>
        <v>22555.490582565122</v>
      </c>
      <c r="H36" s="1">
        <v>9061.7108955077201</v>
      </c>
      <c r="I36" t="s">
        <v>128</v>
      </c>
      <c r="J36">
        <v>1</v>
      </c>
      <c r="K36">
        <v>26</v>
      </c>
      <c r="L36">
        <v>21</v>
      </c>
      <c r="M36">
        <v>7</v>
      </c>
      <c r="N36" t="s">
        <v>134</v>
      </c>
      <c r="O36" s="1">
        <v>1.0194875708221101</v>
      </c>
      <c r="P36" t="s">
        <v>144</v>
      </c>
      <c r="Q36" t="s">
        <v>152</v>
      </c>
      <c r="R36">
        <v>4</v>
      </c>
      <c r="S36">
        <v>452</v>
      </c>
      <c r="T36">
        <v>10</v>
      </c>
      <c r="U36">
        <v>10.754272815029299</v>
      </c>
      <c r="V36" t="s">
        <v>131</v>
      </c>
      <c r="W36" s="2">
        <f t="shared" si="2"/>
        <v>64.660455937205398</v>
      </c>
      <c r="X36">
        <v>0.64660455937205397</v>
      </c>
      <c r="Y36" t="s">
        <v>137</v>
      </c>
      <c r="Z36" t="s">
        <v>142</v>
      </c>
      <c r="AA36">
        <v>510.35800043352299</v>
      </c>
    </row>
    <row r="37" spans="1:27" x14ac:dyDescent="0.35">
      <c r="A37" t="s">
        <v>30</v>
      </c>
      <c r="B37" t="s">
        <v>59</v>
      </c>
      <c r="C37" s="1">
        <v>84.957786816350406</v>
      </c>
      <c r="D37" s="2">
        <v>11</v>
      </c>
      <c r="E37">
        <v>449</v>
      </c>
      <c r="F37" s="1">
        <f t="shared" si="0"/>
        <v>-31604.716935738874</v>
      </c>
      <c r="G37">
        <f t="shared" si="1"/>
        <v>38146.046280541334</v>
      </c>
      <c r="H37" s="1">
        <v>6541.3293448024597</v>
      </c>
      <c r="I37" t="s">
        <v>129</v>
      </c>
      <c r="J37">
        <v>42</v>
      </c>
      <c r="K37">
        <v>27</v>
      </c>
      <c r="L37">
        <v>85</v>
      </c>
      <c r="M37">
        <v>8</v>
      </c>
      <c r="N37" t="s">
        <v>136</v>
      </c>
      <c r="O37" s="1">
        <v>5.2881899903273997</v>
      </c>
      <c r="P37" t="s">
        <v>144</v>
      </c>
      <c r="Q37" t="s">
        <v>150</v>
      </c>
      <c r="R37">
        <v>3</v>
      </c>
      <c r="S37">
        <v>367</v>
      </c>
      <c r="T37">
        <v>2</v>
      </c>
      <c r="U37">
        <v>58.004787044743701</v>
      </c>
      <c r="V37" t="s">
        <v>131</v>
      </c>
      <c r="W37" s="2">
        <f t="shared" si="2"/>
        <v>54.115409806058103</v>
      </c>
      <c r="X37">
        <v>0.54115409806058101</v>
      </c>
      <c r="Y37" t="s">
        <v>140</v>
      </c>
      <c r="Z37" t="s">
        <v>143</v>
      </c>
      <c r="AA37">
        <v>553.42047123035502</v>
      </c>
    </row>
    <row r="38" spans="1:27" x14ac:dyDescent="0.35">
      <c r="A38" t="s">
        <v>23</v>
      </c>
      <c r="B38" t="s">
        <v>60</v>
      </c>
      <c r="C38" s="1">
        <v>9.81300257875405</v>
      </c>
      <c r="D38" s="2">
        <v>34</v>
      </c>
      <c r="E38">
        <v>963</v>
      </c>
      <c r="F38" s="1">
        <f t="shared" si="0"/>
        <v>-1876.5190254914196</v>
      </c>
      <c r="G38">
        <f t="shared" si="1"/>
        <v>9449.9214833401493</v>
      </c>
      <c r="H38" s="1">
        <v>7573.4024578487297</v>
      </c>
      <c r="I38" t="s">
        <v>129</v>
      </c>
      <c r="J38">
        <v>18</v>
      </c>
      <c r="K38">
        <v>23</v>
      </c>
      <c r="L38">
        <v>28</v>
      </c>
      <c r="M38">
        <v>3</v>
      </c>
      <c r="N38" t="s">
        <v>135</v>
      </c>
      <c r="O38" s="1">
        <v>2.1079512671590801</v>
      </c>
      <c r="P38" t="s">
        <v>145</v>
      </c>
      <c r="Q38" t="s">
        <v>150</v>
      </c>
      <c r="R38">
        <v>26</v>
      </c>
      <c r="S38">
        <v>671</v>
      </c>
      <c r="T38">
        <v>19</v>
      </c>
      <c r="U38">
        <v>45.531364237162101</v>
      </c>
      <c r="V38" t="s">
        <v>132</v>
      </c>
      <c r="W38" s="2">
        <f t="shared" si="2"/>
        <v>380.55333792433498</v>
      </c>
      <c r="X38">
        <v>3.8055333792433501</v>
      </c>
      <c r="Y38" t="s">
        <v>138</v>
      </c>
      <c r="Z38" t="s">
        <v>143</v>
      </c>
      <c r="AA38">
        <v>403.80897424817999</v>
      </c>
    </row>
    <row r="39" spans="1:27" x14ac:dyDescent="0.35">
      <c r="A39" t="s">
        <v>23</v>
      </c>
      <c r="B39" t="s">
        <v>61</v>
      </c>
      <c r="C39" s="1">
        <v>23.3998447526143</v>
      </c>
      <c r="D39" s="2">
        <v>5</v>
      </c>
      <c r="E39">
        <v>963</v>
      </c>
      <c r="F39" s="1">
        <f t="shared" si="0"/>
        <v>-20095.710566297548</v>
      </c>
      <c r="G39">
        <f t="shared" si="1"/>
        <v>22534.05049676757</v>
      </c>
      <c r="H39" s="1">
        <v>2438.3399304700201</v>
      </c>
      <c r="I39" t="s">
        <v>129</v>
      </c>
      <c r="J39">
        <v>25</v>
      </c>
      <c r="K39">
        <v>8</v>
      </c>
      <c r="L39">
        <v>21</v>
      </c>
      <c r="M39">
        <v>9</v>
      </c>
      <c r="N39" t="s">
        <v>134</v>
      </c>
      <c r="O39" s="1">
        <v>1.53265527359043</v>
      </c>
      <c r="P39" t="s">
        <v>146</v>
      </c>
      <c r="Q39" t="s">
        <v>151</v>
      </c>
      <c r="R39">
        <v>24</v>
      </c>
      <c r="S39">
        <v>867</v>
      </c>
      <c r="T39">
        <v>15</v>
      </c>
      <c r="U39">
        <v>34.343277465075303</v>
      </c>
      <c r="V39" t="s">
        <v>133</v>
      </c>
      <c r="W39" s="2">
        <f t="shared" si="2"/>
        <v>261.02880848481101</v>
      </c>
      <c r="X39">
        <v>2.61028808484811</v>
      </c>
      <c r="Y39" t="s">
        <v>140</v>
      </c>
      <c r="Z39" t="s">
        <v>141</v>
      </c>
      <c r="AA39">
        <v>183.932968043594</v>
      </c>
    </row>
    <row r="40" spans="1:27" x14ac:dyDescent="0.35">
      <c r="A40" t="s">
        <v>30</v>
      </c>
      <c r="B40" t="s">
        <v>62</v>
      </c>
      <c r="C40" s="1">
        <v>52.075930682707799</v>
      </c>
      <c r="D40" s="2">
        <v>75</v>
      </c>
      <c r="E40">
        <v>705</v>
      </c>
      <c r="F40" s="1">
        <f t="shared" si="0"/>
        <v>-27021.213091090569</v>
      </c>
      <c r="G40">
        <f t="shared" si="1"/>
        <v>36713.531131308999</v>
      </c>
      <c r="H40" s="1">
        <v>9692.3180402184298</v>
      </c>
      <c r="I40" t="s">
        <v>127</v>
      </c>
      <c r="J40">
        <v>69</v>
      </c>
      <c r="K40">
        <v>1</v>
      </c>
      <c r="L40">
        <v>88</v>
      </c>
      <c r="M40">
        <v>5</v>
      </c>
      <c r="N40" t="s">
        <v>135</v>
      </c>
      <c r="O40" s="1">
        <v>9.2359314372492207</v>
      </c>
      <c r="P40" t="s">
        <v>148</v>
      </c>
      <c r="Q40" t="s">
        <v>149</v>
      </c>
      <c r="R40">
        <v>10</v>
      </c>
      <c r="S40">
        <v>841</v>
      </c>
      <c r="T40">
        <v>12</v>
      </c>
      <c r="U40">
        <v>5.9306936455283097</v>
      </c>
      <c r="V40" t="s">
        <v>133</v>
      </c>
      <c r="W40" s="2">
        <f t="shared" si="2"/>
        <v>61.332689916450697</v>
      </c>
      <c r="X40">
        <v>0.613326899164507</v>
      </c>
      <c r="Y40" t="s">
        <v>138</v>
      </c>
      <c r="Z40" t="s">
        <v>142</v>
      </c>
      <c r="AA40">
        <v>339.67286994860598</v>
      </c>
    </row>
    <row r="41" spans="1:27" x14ac:dyDescent="0.35">
      <c r="A41" t="s">
        <v>23</v>
      </c>
      <c r="B41" t="s">
        <v>63</v>
      </c>
      <c r="C41" s="1">
        <v>19.127477265823199</v>
      </c>
      <c r="D41" s="2">
        <v>26</v>
      </c>
      <c r="E41">
        <v>176</v>
      </c>
      <c r="F41" s="1">
        <f t="shared" si="0"/>
        <v>-1453.970335684123</v>
      </c>
      <c r="G41">
        <f t="shared" si="1"/>
        <v>3366.4359987848829</v>
      </c>
      <c r="H41" s="1">
        <v>1912.4656631007599</v>
      </c>
      <c r="I41" t="s">
        <v>129</v>
      </c>
      <c r="J41">
        <v>78</v>
      </c>
      <c r="K41">
        <v>29</v>
      </c>
      <c r="L41">
        <v>34</v>
      </c>
      <c r="M41">
        <v>3</v>
      </c>
      <c r="N41" t="s">
        <v>134</v>
      </c>
      <c r="O41" s="1">
        <v>5.5625037788303802</v>
      </c>
      <c r="P41" t="s">
        <v>145</v>
      </c>
      <c r="Q41" t="s">
        <v>151</v>
      </c>
      <c r="R41">
        <v>30</v>
      </c>
      <c r="S41">
        <v>791</v>
      </c>
      <c r="T41">
        <v>6</v>
      </c>
      <c r="U41">
        <v>9.0058074287816403</v>
      </c>
      <c r="V41" t="s">
        <v>132</v>
      </c>
      <c r="W41" s="2">
        <f t="shared" si="2"/>
        <v>145.19722039968099</v>
      </c>
      <c r="X41">
        <v>1.4519722039968099</v>
      </c>
      <c r="Y41" t="s">
        <v>138</v>
      </c>
      <c r="Z41" t="s">
        <v>142</v>
      </c>
      <c r="AA41">
        <v>653.67299455203295</v>
      </c>
    </row>
    <row r="42" spans="1:27" x14ac:dyDescent="0.35">
      <c r="A42" t="s">
        <v>23</v>
      </c>
      <c r="B42" t="s">
        <v>64</v>
      </c>
      <c r="C42" s="1">
        <v>80.541424170940303</v>
      </c>
      <c r="D42" s="2">
        <v>97</v>
      </c>
      <c r="E42">
        <v>933</v>
      </c>
      <c r="F42" s="1">
        <f t="shared" si="0"/>
        <v>-69420.189401031035</v>
      </c>
      <c r="G42">
        <f t="shared" si="1"/>
        <v>75145.148751487301</v>
      </c>
      <c r="H42" s="1">
        <v>5724.9593504562599</v>
      </c>
      <c r="I42" t="s">
        <v>129</v>
      </c>
      <c r="J42">
        <v>90</v>
      </c>
      <c r="K42">
        <v>20</v>
      </c>
      <c r="L42">
        <v>39</v>
      </c>
      <c r="M42">
        <v>8</v>
      </c>
      <c r="N42" t="s">
        <v>136</v>
      </c>
      <c r="O42" s="1">
        <v>7.2295951397364702</v>
      </c>
      <c r="P42" t="s">
        <v>144</v>
      </c>
      <c r="Q42" t="s">
        <v>151</v>
      </c>
      <c r="R42">
        <v>18</v>
      </c>
      <c r="S42">
        <v>793</v>
      </c>
      <c r="T42">
        <v>1</v>
      </c>
      <c r="U42">
        <v>88.179407104217404</v>
      </c>
      <c r="V42" t="s">
        <v>133</v>
      </c>
      <c r="W42" s="2">
        <f t="shared" si="2"/>
        <v>421.32694305865596</v>
      </c>
      <c r="X42">
        <v>4.2132694305865597</v>
      </c>
      <c r="Y42" t="s">
        <v>137</v>
      </c>
      <c r="Z42" t="s">
        <v>141</v>
      </c>
      <c r="AA42">
        <v>529.80872398069096</v>
      </c>
    </row>
    <row r="43" spans="1:27" x14ac:dyDescent="0.35">
      <c r="A43" t="s">
        <v>23</v>
      </c>
      <c r="B43" t="s">
        <v>65</v>
      </c>
      <c r="C43" s="1">
        <v>99.113291615317095</v>
      </c>
      <c r="D43" s="2">
        <v>35</v>
      </c>
      <c r="E43">
        <v>556</v>
      </c>
      <c r="F43" s="1">
        <f t="shared" si="0"/>
        <v>-49585.78487910534</v>
      </c>
      <c r="G43">
        <f t="shared" si="1"/>
        <v>55106.990138116307</v>
      </c>
      <c r="H43" s="1">
        <v>5521.2052590109697</v>
      </c>
      <c r="I43" t="s">
        <v>129</v>
      </c>
      <c r="J43">
        <v>64</v>
      </c>
      <c r="K43">
        <v>19</v>
      </c>
      <c r="L43">
        <v>38</v>
      </c>
      <c r="M43">
        <v>8</v>
      </c>
      <c r="N43" t="s">
        <v>135</v>
      </c>
      <c r="O43" s="1">
        <v>5.7732637437666501</v>
      </c>
      <c r="P43" t="s">
        <v>147</v>
      </c>
      <c r="Q43" t="s">
        <v>152</v>
      </c>
      <c r="R43">
        <v>18</v>
      </c>
      <c r="S43">
        <v>892</v>
      </c>
      <c r="T43">
        <v>7</v>
      </c>
      <c r="U43">
        <v>95.332064548772493</v>
      </c>
      <c r="V43" t="s">
        <v>132</v>
      </c>
      <c r="W43" s="2">
        <f t="shared" si="2"/>
        <v>4.5302262398259598</v>
      </c>
      <c r="X43">
        <v>4.5302262398259602E-2</v>
      </c>
      <c r="Y43" t="s">
        <v>140</v>
      </c>
      <c r="Z43" t="s">
        <v>141</v>
      </c>
      <c r="AA43">
        <v>275.52437113130901</v>
      </c>
    </row>
    <row r="44" spans="1:27" x14ac:dyDescent="0.35">
      <c r="A44" t="s">
        <v>23</v>
      </c>
      <c r="B44" t="s">
        <v>66</v>
      </c>
      <c r="C44" s="1">
        <v>46.529167614516702</v>
      </c>
      <c r="D44" s="2">
        <v>98</v>
      </c>
      <c r="E44">
        <v>155</v>
      </c>
      <c r="F44" s="1">
        <f t="shared" si="0"/>
        <v>-5372.4115543933285</v>
      </c>
      <c r="G44">
        <f t="shared" si="1"/>
        <v>7212.0209802500885</v>
      </c>
      <c r="H44" s="1">
        <v>1839.60942585676</v>
      </c>
      <c r="I44" t="s">
        <v>129</v>
      </c>
      <c r="J44">
        <v>22</v>
      </c>
      <c r="K44">
        <v>27</v>
      </c>
      <c r="L44">
        <v>57</v>
      </c>
      <c r="M44">
        <v>4</v>
      </c>
      <c r="N44" t="s">
        <v>136</v>
      </c>
      <c r="O44" s="1">
        <v>7.5262483268515004</v>
      </c>
      <c r="P44" t="s">
        <v>148</v>
      </c>
      <c r="Q44" t="s">
        <v>153</v>
      </c>
      <c r="R44">
        <v>26</v>
      </c>
      <c r="S44">
        <v>179</v>
      </c>
      <c r="T44">
        <v>7</v>
      </c>
      <c r="U44">
        <v>96.422820639571796</v>
      </c>
      <c r="V44" t="s">
        <v>132</v>
      </c>
      <c r="W44" s="2">
        <f t="shared" si="2"/>
        <v>493.92552886209398</v>
      </c>
      <c r="X44">
        <v>4.9392552886209398</v>
      </c>
      <c r="Y44" t="s">
        <v>137</v>
      </c>
      <c r="Z44" t="s">
        <v>141</v>
      </c>
      <c r="AA44">
        <v>635.65712050199102</v>
      </c>
    </row>
    <row r="45" spans="1:27" x14ac:dyDescent="0.35">
      <c r="A45" t="s">
        <v>21</v>
      </c>
      <c r="B45" t="s">
        <v>67</v>
      </c>
      <c r="C45" s="1">
        <v>11.7432717763092</v>
      </c>
      <c r="D45" s="2">
        <v>6</v>
      </c>
      <c r="E45">
        <v>598</v>
      </c>
      <c r="F45" s="1">
        <f t="shared" si="0"/>
        <v>-1285.0509231138813</v>
      </c>
      <c r="G45">
        <f t="shared" si="1"/>
        <v>7022.4765222329015</v>
      </c>
      <c r="H45" s="1">
        <v>5737.4255991190203</v>
      </c>
      <c r="I45" t="s">
        <v>128</v>
      </c>
      <c r="J45">
        <v>36</v>
      </c>
      <c r="K45">
        <v>29</v>
      </c>
      <c r="L45">
        <v>85</v>
      </c>
      <c r="M45">
        <v>9</v>
      </c>
      <c r="N45" t="s">
        <v>135</v>
      </c>
      <c r="O45" s="1">
        <v>3.6940212683884499</v>
      </c>
      <c r="P45" t="s">
        <v>148</v>
      </c>
      <c r="Q45" t="s">
        <v>149</v>
      </c>
      <c r="R45">
        <v>1</v>
      </c>
      <c r="S45">
        <v>206</v>
      </c>
      <c r="T45">
        <v>23</v>
      </c>
      <c r="U45">
        <v>26.2773659573324</v>
      </c>
      <c r="V45" t="s">
        <v>133</v>
      </c>
      <c r="W45" s="2">
        <f t="shared" si="2"/>
        <v>37.230476798509699</v>
      </c>
      <c r="X45">
        <v>0.37230476798509698</v>
      </c>
      <c r="Y45" t="s">
        <v>138</v>
      </c>
      <c r="Z45" t="s">
        <v>141</v>
      </c>
      <c r="AA45">
        <v>716.04411975933999</v>
      </c>
    </row>
    <row r="46" spans="1:27" x14ac:dyDescent="0.35">
      <c r="A46" t="s">
        <v>30</v>
      </c>
      <c r="B46" t="s">
        <v>68</v>
      </c>
      <c r="C46" s="1">
        <v>51.355790913110297</v>
      </c>
      <c r="D46" s="2">
        <v>34</v>
      </c>
      <c r="E46">
        <v>919</v>
      </c>
      <c r="F46" s="1">
        <f t="shared" si="0"/>
        <v>-40043.685799712854</v>
      </c>
      <c r="G46">
        <f t="shared" si="1"/>
        <v>47195.971849148365</v>
      </c>
      <c r="H46" s="1">
        <v>7152.28604943551</v>
      </c>
      <c r="I46" t="s">
        <v>129</v>
      </c>
      <c r="J46">
        <v>13</v>
      </c>
      <c r="K46">
        <v>19</v>
      </c>
      <c r="L46">
        <v>72</v>
      </c>
      <c r="M46">
        <v>6</v>
      </c>
      <c r="N46" t="s">
        <v>136</v>
      </c>
      <c r="O46" s="1">
        <v>7.5774496573766896</v>
      </c>
      <c r="P46" t="s">
        <v>145</v>
      </c>
      <c r="Q46" t="s">
        <v>150</v>
      </c>
      <c r="R46">
        <v>7</v>
      </c>
      <c r="S46">
        <v>834</v>
      </c>
      <c r="T46">
        <v>18</v>
      </c>
      <c r="U46">
        <v>22.554106620887701</v>
      </c>
      <c r="V46" t="s">
        <v>132</v>
      </c>
      <c r="W46" s="2">
        <f t="shared" si="2"/>
        <v>296.26263204548803</v>
      </c>
      <c r="X46">
        <v>2.9626263204548802</v>
      </c>
      <c r="Y46" t="s">
        <v>139</v>
      </c>
      <c r="Z46" t="s">
        <v>141</v>
      </c>
      <c r="AA46">
        <v>610.45326961922694</v>
      </c>
    </row>
    <row r="47" spans="1:27" x14ac:dyDescent="0.35">
      <c r="A47" t="s">
        <v>21</v>
      </c>
      <c r="B47" t="s">
        <v>69</v>
      </c>
      <c r="C47" s="1">
        <v>33.784138033065503</v>
      </c>
      <c r="D47" s="2">
        <v>1</v>
      </c>
      <c r="E47">
        <v>24</v>
      </c>
      <c r="F47" s="1">
        <f t="shared" si="0"/>
        <v>4457.1374947169479</v>
      </c>
      <c r="G47">
        <f t="shared" si="1"/>
        <v>810.81931279357207</v>
      </c>
      <c r="H47" s="1">
        <v>5267.9568075105199</v>
      </c>
      <c r="I47" t="s">
        <v>130</v>
      </c>
      <c r="J47">
        <v>93</v>
      </c>
      <c r="K47">
        <v>7</v>
      </c>
      <c r="L47">
        <v>52</v>
      </c>
      <c r="M47">
        <v>6</v>
      </c>
      <c r="N47" t="s">
        <v>135</v>
      </c>
      <c r="O47" s="1">
        <v>5.2151550087119096</v>
      </c>
      <c r="P47" t="s">
        <v>145</v>
      </c>
      <c r="Q47" t="s">
        <v>152</v>
      </c>
      <c r="R47">
        <v>25</v>
      </c>
      <c r="S47">
        <v>794</v>
      </c>
      <c r="T47">
        <v>25</v>
      </c>
      <c r="U47">
        <v>66.312544439991598</v>
      </c>
      <c r="V47" t="s">
        <v>131</v>
      </c>
      <c r="W47" s="2">
        <f t="shared" si="2"/>
        <v>321.96046120841004</v>
      </c>
      <c r="X47">
        <v>3.2196046120841002</v>
      </c>
      <c r="Y47" t="s">
        <v>139</v>
      </c>
      <c r="Z47" t="s">
        <v>141</v>
      </c>
      <c r="AA47">
        <v>495.30569702847299</v>
      </c>
    </row>
    <row r="48" spans="1:27" x14ac:dyDescent="0.35">
      <c r="A48" t="s">
        <v>21</v>
      </c>
      <c r="B48" t="s">
        <v>70</v>
      </c>
      <c r="C48" s="1">
        <v>27.082207199888899</v>
      </c>
      <c r="D48" s="2">
        <v>75</v>
      </c>
      <c r="E48">
        <v>859</v>
      </c>
      <c r="F48" s="1">
        <f t="shared" si="0"/>
        <v>-20706.848624070975</v>
      </c>
      <c r="G48">
        <f t="shared" si="1"/>
        <v>23263.615984704564</v>
      </c>
      <c r="H48" s="1">
        <v>2556.7673606335902</v>
      </c>
      <c r="I48" t="s">
        <v>127</v>
      </c>
      <c r="J48">
        <v>92</v>
      </c>
      <c r="K48">
        <v>29</v>
      </c>
      <c r="L48">
        <v>6</v>
      </c>
      <c r="M48">
        <v>8</v>
      </c>
      <c r="N48" t="s">
        <v>135</v>
      </c>
      <c r="O48" s="1">
        <v>4.0709558370840799</v>
      </c>
      <c r="P48" t="s">
        <v>146</v>
      </c>
      <c r="Q48" t="s">
        <v>152</v>
      </c>
      <c r="R48">
        <v>18</v>
      </c>
      <c r="S48">
        <v>870</v>
      </c>
      <c r="T48">
        <v>23</v>
      </c>
      <c r="U48">
        <v>77.322353211051606</v>
      </c>
      <c r="V48" t="s">
        <v>133</v>
      </c>
      <c r="W48" s="2">
        <f t="shared" si="2"/>
        <v>364.86105925362</v>
      </c>
      <c r="X48">
        <v>3.6486105925361998</v>
      </c>
      <c r="Y48" t="s">
        <v>137</v>
      </c>
      <c r="Z48" t="s">
        <v>142</v>
      </c>
      <c r="AA48">
        <v>380.43593711196399</v>
      </c>
    </row>
    <row r="49" spans="1:27" x14ac:dyDescent="0.35">
      <c r="A49" t="s">
        <v>23</v>
      </c>
      <c r="B49" t="s">
        <v>71</v>
      </c>
      <c r="C49" s="1">
        <v>95.712135880936003</v>
      </c>
      <c r="D49" s="2">
        <v>93</v>
      </c>
      <c r="E49">
        <v>910</v>
      </c>
      <c r="F49" s="1">
        <f t="shared" si="0"/>
        <v>-80008.569401717585</v>
      </c>
      <c r="G49">
        <f t="shared" si="1"/>
        <v>87098.043651651766</v>
      </c>
      <c r="H49" s="1">
        <v>7089.4742499341801</v>
      </c>
      <c r="I49" t="s">
        <v>130</v>
      </c>
      <c r="J49">
        <v>4</v>
      </c>
      <c r="K49">
        <v>15</v>
      </c>
      <c r="L49">
        <v>51</v>
      </c>
      <c r="M49">
        <v>9</v>
      </c>
      <c r="N49" t="s">
        <v>135</v>
      </c>
      <c r="O49" s="1">
        <v>8.9787507559499709</v>
      </c>
      <c r="P49" t="s">
        <v>144</v>
      </c>
      <c r="Q49" t="s">
        <v>151</v>
      </c>
      <c r="R49">
        <v>10</v>
      </c>
      <c r="S49">
        <v>964</v>
      </c>
      <c r="T49">
        <v>20</v>
      </c>
      <c r="U49">
        <v>19.7129929112936</v>
      </c>
      <c r="V49" t="s">
        <v>133</v>
      </c>
      <c r="W49" s="2">
        <f t="shared" si="2"/>
        <v>38.057358671321303</v>
      </c>
      <c r="X49">
        <v>0.38057358671321301</v>
      </c>
      <c r="Y49" t="s">
        <v>139</v>
      </c>
      <c r="Z49" t="s">
        <v>141</v>
      </c>
      <c r="AA49">
        <v>581.60235505058597</v>
      </c>
    </row>
    <row r="50" spans="1:27" x14ac:dyDescent="0.35">
      <c r="A50" t="s">
        <v>21</v>
      </c>
      <c r="B50" t="s">
        <v>72</v>
      </c>
      <c r="C50" s="1">
        <v>76.035544426891704</v>
      </c>
      <c r="D50" s="2">
        <v>28</v>
      </c>
      <c r="E50">
        <v>29</v>
      </c>
      <c r="F50" s="1">
        <f t="shared" si="0"/>
        <v>5192.0402162073206</v>
      </c>
      <c r="G50">
        <f t="shared" si="1"/>
        <v>2205.0307883798596</v>
      </c>
      <c r="H50" s="1">
        <v>7397.0710045871801</v>
      </c>
      <c r="I50" t="s">
        <v>127</v>
      </c>
      <c r="J50">
        <v>30</v>
      </c>
      <c r="K50">
        <v>16</v>
      </c>
      <c r="L50">
        <v>9</v>
      </c>
      <c r="M50">
        <v>3</v>
      </c>
      <c r="N50" t="s">
        <v>136</v>
      </c>
      <c r="O50" s="1">
        <v>7.0958331565551296</v>
      </c>
      <c r="P50" t="s">
        <v>145</v>
      </c>
      <c r="Q50" t="s">
        <v>149</v>
      </c>
      <c r="R50">
        <v>9</v>
      </c>
      <c r="S50">
        <v>109</v>
      </c>
      <c r="T50">
        <v>18</v>
      </c>
      <c r="U50">
        <v>23.126363582464698</v>
      </c>
      <c r="V50" t="s">
        <v>132</v>
      </c>
      <c r="W50" s="2">
        <f t="shared" si="2"/>
        <v>169.81125407144</v>
      </c>
      <c r="X50">
        <v>1.6981125407144</v>
      </c>
      <c r="Y50" t="s">
        <v>139</v>
      </c>
      <c r="Z50" t="s">
        <v>142</v>
      </c>
      <c r="AA50">
        <v>768.65191395437</v>
      </c>
    </row>
    <row r="51" spans="1:27" x14ac:dyDescent="0.35">
      <c r="A51" t="s">
        <v>30</v>
      </c>
      <c r="B51" t="s">
        <v>73</v>
      </c>
      <c r="C51" s="1">
        <v>78.897913205639995</v>
      </c>
      <c r="D51" s="2">
        <v>19</v>
      </c>
      <c r="E51">
        <v>99</v>
      </c>
      <c r="F51" s="1">
        <f t="shared" si="0"/>
        <v>190.71979916064083</v>
      </c>
      <c r="G51">
        <f t="shared" si="1"/>
        <v>7810.8934073583596</v>
      </c>
      <c r="H51" s="1">
        <v>8001.6132065190004</v>
      </c>
      <c r="I51" t="s">
        <v>128</v>
      </c>
      <c r="J51">
        <v>97</v>
      </c>
      <c r="K51">
        <v>24</v>
      </c>
      <c r="L51">
        <v>9</v>
      </c>
      <c r="M51">
        <v>6</v>
      </c>
      <c r="N51" t="s">
        <v>136</v>
      </c>
      <c r="O51" s="1">
        <v>2.5056210329009101</v>
      </c>
      <c r="P51" t="s">
        <v>148</v>
      </c>
      <c r="Q51" t="s">
        <v>150</v>
      </c>
      <c r="R51">
        <v>28</v>
      </c>
      <c r="S51">
        <v>177</v>
      </c>
      <c r="T51">
        <v>28</v>
      </c>
      <c r="U51">
        <v>14.1478154439792</v>
      </c>
      <c r="V51" t="s">
        <v>131</v>
      </c>
      <c r="W51" s="2">
        <f t="shared" si="2"/>
        <v>282.58139854001303</v>
      </c>
      <c r="X51">
        <v>2.8258139854001301</v>
      </c>
      <c r="Y51" t="s">
        <v>139</v>
      </c>
      <c r="Z51" t="s">
        <v>141</v>
      </c>
      <c r="AA51">
        <v>336.89016851997701</v>
      </c>
    </row>
    <row r="52" spans="1:27" x14ac:dyDescent="0.35">
      <c r="A52" t="s">
        <v>30</v>
      </c>
      <c r="B52" t="s">
        <v>74</v>
      </c>
      <c r="C52" s="1">
        <v>14.203484264803</v>
      </c>
      <c r="D52" s="2">
        <v>91</v>
      </c>
      <c r="E52">
        <v>633</v>
      </c>
      <c r="F52" s="1">
        <f t="shared" si="0"/>
        <v>-3079.9201499514102</v>
      </c>
      <c r="G52">
        <f t="shared" si="1"/>
        <v>8990.8055396202999</v>
      </c>
      <c r="H52" s="1">
        <v>5910.8853896688897</v>
      </c>
      <c r="I52" t="s">
        <v>129</v>
      </c>
      <c r="J52">
        <v>31</v>
      </c>
      <c r="K52">
        <v>23</v>
      </c>
      <c r="L52">
        <v>82</v>
      </c>
      <c r="M52">
        <v>10</v>
      </c>
      <c r="N52" t="s">
        <v>134</v>
      </c>
      <c r="O52" s="1">
        <v>6.2478609149759903</v>
      </c>
      <c r="P52" t="s">
        <v>145</v>
      </c>
      <c r="Q52" t="s">
        <v>150</v>
      </c>
      <c r="R52">
        <v>20</v>
      </c>
      <c r="S52">
        <v>306</v>
      </c>
      <c r="T52">
        <v>21</v>
      </c>
      <c r="U52">
        <v>45.178757924634503</v>
      </c>
      <c r="V52" t="s">
        <v>132</v>
      </c>
      <c r="W52" s="2">
        <f t="shared" si="2"/>
        <v>475.480080467118</v>
      </c>
      <c r="X52">
        <v>4.7548008046711798</v>
      </c>
      <c r="Y52" t="s">
        <v>139</v>
      </c>
      <c r="Z52" t="s">
        <v>142</v>
      </c>
      <c r="AA52">
        <v>496.24865029194001</v>
      </c>
    </row>
    <row r="53" spans="1:27" x14ac:dyDescent="0.35">
      <c r="A53" t="s">
        <v>21</v>
      </c>
      <c r="B53" t="s">
        <v>75</v>
      </c>
      <c r="C53" s="1">
        <v>26.700760972461701</v>
      </c>
      <c r="D53" s="2">
        <v>61</v>
      </c>
      <c r="E53">
        <v>154</v>
      </c>
      <c r="F53" s="1">
        <f t="shared" si="0"/>
        <v>5754.5482682205875</v>
      </c>
      <c r="G53">
        <f t="shared" si="1"/>
        <v>4111.9171897591023</v>
      </c>
      <c r="H53" s="1">
        <v>9866.4654579796897</v>
      </c>
      <c r="I53" t="s">
        <v>130</v>
      </c>
      <c r="J53">
        <v>100</v>
      </c>
      <c r="K53">
        <v>4</v>
      </c>
      <c r="L53">
        <v>52</v>
      </c>
      <c r="M53">
        <v>1</v>
      </c>
      <c r="N53" t="s">
        <v>134</v>
      </c>
      <c r="O53" s="1">
        <v>4.78300055794766</v>
      </c>
      <c r="P53" t="s">
        <v>148</v>
      </c>
      <c r="Q53" t="s">
        <v>153</v>
      </c>
      <c r="R53">
        <v>18</v>
      </c>
      <c r="S53">
        <v>673</v>
      </c>
      <c r="T53">
        <v>28</v>
      </c>
      <c r="U53">
        <v>14.190328344569901</v>
      </c>
      <c r="V53" t="s">
        <v>133</v>
      </c>
      <c r="W53" s="2">
        <f t="shared" si="2"/>
        <v>177.29511720835501</v>
      </c>
      <c r="X53">
        <v>1.77295117208355</v>
      </c>
      <c r="Y53" t="s">
        <v>137</v>
      </c>
      <c r="Z53" t="s">
        <v>141</v>
      </c>
      <c r="AA53">
        <v>694.98231757944495</v>
      </c>
    </row>
    <row r="54" spans="1:27" x14ac:dyDescent="0.35">
      <c r="A54" t="s">
        <v>23</v>
      </c>
      <c r="B54" t="s">
        <v>76</v>
      </c>
      <c r="C54" s="1">
        <v>98.031829656465007</v>
      </c>
      <c r="D54" s="2">
        <v>1</v>
      </c>
      <c r="E54">
        <v>820</v>
      </c>
      <c r="F54" s="1">
        <f t="shared" si="0"/>
        <v>-70950.337709389176</v>
      </c>
      <c r="G54">
        <f t="shared" si="1"/>
        <v>80386.100318301309</v>
      </c>
      <c r="H54" s="1">
        <v>9435.7626089121295</v>
      </c>
      <c r="I54" t="s">
        <v>130</v>
      </c>
      <c r="J54">
        <v>64</v>
      </c>
      <c r="K54">
        <v>11</v>
      </c>
      <c r="L54">
        <v>11</v>
      </c>
      <c r="M54">
        <v>1</v>
      </c>
      <c r="N54" t="s">
        <v>135</v>
      </c>
      <c r="O54" s="1">
        <v>8.6310521797689397</v>
      </c>
      <c r="P54" t="s">
        <v>144</v>
      </c>
      <c r="Q54" t="s">
        <v>149</v>
      </c>
      <c r="R54">
        <v>10</v>
      </c>
      <c r="S54">
        <v>727</v>
      </c>
      <c r="T54">
        <v>27</v>
      </c>
      <c r="U54">
        <v>9.1668491485971497</v>
      </c>
      <c r="V54" t="s">
        <v>133</v>
      </c>
      <c r="W54" s="2">
        <f t="shared" si="2"/>
        <v>212.24716191438202</v>
      </c>
      <c r="X54">
        <v>2.1224716191438202</v>
      </c>
      <c r="Y54" t="s">
        <v>138</v>
      </c>
      <c r="Z54" t="s">
        <v>143</v>
      </c>
      <c r="AA54">
        <v>602.89849883838303</v>
      </c>
    </row>
    <row r="55" spans="1:27" x14ac:dyDescent="0.35">
      <c r="A55" t="s">
        <v>23</v>
      </c>
      <c r="B55" t="s">
        <v>77</v>
      </c>
      <c r="C55" s="1">
        <v>30.3414707112142</v>
      </c>
      <c r="D55" s="2">
        <v>93</v>
      </c>
      <c r="E55">
        <v>242</v>
      </c>
      <c r="F55" s="1">
        <f t="shared" si="0"/>
        <v>889.69891731198277</v>
      </c>
      <c r="G55">
        <f t="shared" si="1"/>
        <v>7342.6359121138366</v>
      </c>
      <c r="H55" s="1">
        <v>8232.3348294258194</v>
      </c>
      <c r="I55" t="s">
        <v>130</v>
      </c>
      <c r="J55">
        <v>96</v>
      </c>
      <c r="K55">
        <v>25</v>
      </c>
      <c r="L55">
        <v>54</v>
      </c>
      <c r="M55">
        <v>3</v>
      </c>
      <c r="N55" t="s">
        <v>135</v>
      </c>
      <c r="O55" s="1">
        <v>1.0134865660958901</v>
      </c>
      <c r="P55" t="s">
        <v>144</v>
      </c>
      <c r="Q55" t="s">
        <v>150</v>
      </c>
      <c r="R55">
        <v>1</v>
      </c>
      <c r="S55">
        <v>631</v>
      </c>
      <c r="T55">
        <v>17</v>
      </c>
      <c r="U55">
        <v>83.344058991677898</v>
      </c>
      <c r="V55" t="s">
        <v>133</v>
      </c>
      <c r="W55" s="2">
        <f t="shared" si="2"/>
        <v>141.03475760760199</v>
      </c>
      <c r="X55">
        <v>1.41034757607602</v>
      </c>
      <c r="Y55" t="s">
        <v>138</v>
      </c>
      <c r="Z55" t="s">
        <v>142</v>
      </c>
      <c r="AA55">
        <v>750.73784066827</v>
      </c>
    </row>
    <row r="56" spans="1:27" x14ac:dyDescent="0.35">
      <c r="A56" t="s">
        <v>21</v>
      </c>
      <c r="B56" t="s">
        <v>78</v>
      </c>
      <c r="C56" s="1">
        <v>31.1462431602408</v>
      </c>
      <c r="D56" s="2">
        <v>11</v>
      </c>
      <c r="E56">
        <v>622</v>
      </c>
      <c r="F56" s="1">
        <f t="shared" si="0"/>
        <v>-13284.941765728927</v>
      </c>
      <c r="G56">
        <f t="shared" si="1"/>
        <v>19372.963245669776</v>
      </c>
      <c r="H56" s="1">
        <v>6088.0214799408504</v>
      </c>
      <c r="I56" t="s">
        <v>127</v>
      </c>
      <c r="J56">
        <v>33</v>
      </c>
      <c r="K56">
        <v>22</v>
      </c>
      <c r="L56">
        <v>61</v>
      </c>
      <c r="M56">
        <v>3</v>
      </c>
      <c r="N56" t="s">
        <v>135</v>
      </c>
      <c r="O56" s="1">
        <v>4.3051034712876302</v>
      </c>
      <c r="P56" t="s">
        <v>144</v>
      </c>
      <c r="Q56" t="s">
        <v>151</v>
      </c>
      <c r="R56">
        <v>26</v>
      </c>
      <c r="S56">
        <v>497</v>
      </c>
      <c r="T56">
        <v>29</v>
      </c>
      <c r="U56">
        <v>30.186023375822501</v>
      </c>
      <c r="V56" t="s">
        <v>131</v>
      </c>
      <c r="W56" s="2">
        <f t="shared" si="2"/>
        <v>247.87719755397401</v>
      </c>
      <c r="X56">
        <v>2.4787719755397402</v>
      </c>
      <c r="Y56" t="s">
        <v>137</v>
      </c>
      <c r="Z56" t="s">
        <v>142</v>
      </c>
      <c r="AA56">
        <v>814.06999658218695</v>
      </c>
    </row>
    <row r="57" spans="1:27" x14ac:dyDescent="0.35">
      <c r="A57" t="s">
        <v>21</v>
      </c>
      <c r="B57" t="s">
        <v>79</v>
      </c>
      <c r="C57" s="1">
        <v>79.855058340789398</v>
      </c>
      <c r="D57" s="2">
        <v>16</v>
      </c>
      <c r="E57">
        <v>701</v>
      </c>
      <c r="F57" s="1">
        <f t="shared" si="0"/>
        <v>-53052.720726589556</v>
      </c>
      <c r="G57">
        <f t="shared" si="1"/>
        <v>55978.395896893366</v>
      </c>
      <c r="H57" s="1">
        <v>2925.6751703038099</v>
      </c>
      <c r="I57" t="s">
        <v>130</v>
      </c>
      <c r="J57">
        <v>97</v>
      </c>
      <c r="K57">
        <v>11</v>
      </c>
      <c r="L57">
        <v>11</v>
      </c>
      <c r="M57">
        <v>5</v>
      </c>
      <c r="N57" t="s">
        <v>134</v>
      </c>
      <c r="O57" s="1">
        <v>5.0143649550309002</v>
      </c>
      <c r="P57" t="s">
        <v>145</v>
      </c>
      <c r="Q57" t="s">
        <v>150</v>
      </c>
      <c r="R57">
        <v>27</v>
      </c>
      <c r="S57">
        <v>918</v>
      </c>
      <c r="T57">
        <v>5</v>
      </c>
      <c r="U57">
        <v>30.323545256616502</v>
      </c>
      <c r="V57" t="s">
        <v>132</v>
      </c>
      <c r="W57" s="2">
        <f t="shared" si="2"/>
        <v>454.891965939638</v>
      </c>
      <c r="X57">
        <v>4.5489196593963799</v>
      </c>
      <c r="Y57" t="s">
        <v>140</v>
      </c>
      <c r="Z57" t="s">
        <v>142</v>
      </c>
      <c r="AA57">
        <v>323.01292795247798</v>
      </c>
    </row>
    <row r="58" spans="1:27" x14ac:dyDescent="0.35">
      <c r="A58" t="s">
        <v>23</v>
      </c>
      <c r="B58" t="s">
        <v>80</v>
      </c>
      <c r="C58" s="1">
        <v>20.9863860370433</v>
      </c>
      <c r="D58" s="2">
        <v>90</v>
      </c>
      <c r="E58">
        <v>93</v>
      </c>
      <c r="F58" s="1">
        <f t="shared" si="0"/>
        <v>2815.2865828991025</v>
      </c>
      <c r="G58">
        <f t="shared" si="1"/>
        <v>1951.733901445027</v>
      </c>
      <c r="H58" s="1">
        <v>4767.0204843441297</v>
      </c>
      <c r="I58" t="s">
        <v>127</v>
      </c>
      <c r="J58">
        <v>25</v>
      </c>
      <c r="K58">
        <v>23</v>
      </c>
      <c r="L58">
        <v>83</v>
      </c>
      <c r="M58">
        <v>5</v>
      </c>
      <c r="N58" t="s">
        <v>136</v>
      </c>
      <c r="O58" s="1">
        <v>1.77442971407173</v>
      </c>
      <c r="P58" t="s">
        <v>144</v>
      </c>
      <c r="Q58" t="s">
        <v>149</v>
      </c>
      <c r="R58">
        <v>24</v>
      </c>
      <c r="S58">
        <v>826</v>
      </c>
      <c r="T58">
        <v>28</v>
      </c>
      <c r="U58">
        <v>12.8362845728327</v>
      </c>
      <c r="V58" t="s">
        <v>131</v>
      </c>
      <c r="W58" s="2">
        <f t="shared" si="2"/>
        <v>117.37554953874501</v>
      </c>
      <c r="X58">
        <v>1.1737554953874501</v>
      </c>
      <c r="Y58" t="s">
        <v>138</v>
      </c>
      <c r="Z58" t="s">
        <v>142</v>
      </c>
      <c r="AA58">
        <v>832.210808706021</v>
      </c>
    </row>
    <row r="59" spans="1:27" x14ac:dyDescent="0.35">
      <c r="A59" t="s">
        <v>21</v>
      </c>
      <c r="B59" t="s">
        <v>81</v>
      </c>
      <c r="C59" s="1">
        <v>49.263205350734097</v>
      </c>
      <c r="D59" s="2">
        <v>65</v>
      </c>
      <c r="E59">
        <v>227</v>
      </c>
      <c r="F59" s="1">
        <f t="shared" si="0"/>
        <v>-9576.8807142242404</v>
      </c>
      <c r="G59">
        <f t="shared" si="1"/>
        <v>11182.747614616641</v>
      </c>
      <c r="H59" s="1">
        <v>1605.8669003924001</v>
      </c>
      <c r="I59" t="s">
        <v>128</v>
      </c>
      <c r="J59">
        <v>5</v>
      </c>
      <c r="K59">
        <v>18</v>
      </c>
      <c r="L59">
        <v>51</v>
      </c>
      <c r="M59">
        <v>1</v>
      </c>
      <c r="N59" t="s">
        <v>135</v>
      </c>
      <c r="O59" s="1">
        <v>9.1605585353818704</v>
      </c>
      <c r="P59" t="s">
        <v>145</v>
      </c>
      <c r="Q59" t="s">
        <v>150</v>
      </c>
      <c r="R59">
        <v>21</v>
      </c>
      <c r="S59">
        <v>588</v>
      </c>
      <c r="T59">
        <v>25</v>
      </c>
      <c r="U59">
        <v>67.779622987078099</v>
      </c>
      <c r="V59" t="s">
        <v>133</v>
      </c>
      <c r="W59" s="2">
        <f t="shared" si="2"/>
        <v>251.11748302127</v>
      </c>
      <c r="X59">
        <v>2.5111748302126999</v>
      </c>
      <c r="Y59" t="s">
        <v>139</v>
      </c>
      <c r="Z59" t="s">
        <v>141</v>
      </c>
      <c r="AA59">
        <v>482.19123860252802</v>
      </c>
    </row>
    <row r="60" spans="1:27" x14ac:dyDescent="0.35">
      <c r="A60" t="s">
        <v>23</v>
      </c>
      <c r="B60" t="s">
        <v>82</v>
      </c>
      <c r="C60" s="1">
        <v>59.841561377289302</v>
      </c>
      <c r="D60" s="2">
        <v>81</v>
      </c>
      <c r="E60">
        <v>896</v>
      </c>
      <c r="F60" s="1">
        <f t="shared" si="0"/>
        <v>-51596.88918371412</v>
      </c>
      <c r="G60">
        <f t="shared" si="1"/>
        <v>53618.038994051218</v>
      </c>
      <c r="H60" s="1">
        <v>2021.1498103371</v>
      </c>
      <c r="I60" t="s">
        <v>127</v>
      </c>
      <c r="J60">
        <v>10</v>
      </c>
      <c r="K60">
        <v>5</v>
      </c>
      <c r="L60">
        <v>44</v>
      </c>
      <c r="M60">
        <v>7</v>
      </c>
      <c r="N60" t="s">
        <v>134</v>
      </c>
      <c r="O60" s="1">
        <v>4.9384385647120901</v>
      </c>
      <c r="P60" t="s">
        <v>146</v>
      </c>
      <c r="Q60" t="s">
        <v>150</v>
      </c>
      <c r="R60">
        <v>18</v>
      </c>
      <c r="S60">
        <v>396</v>
      </c>
      <c r="T60">
        <v>7</v>
      </c>
      <c r="U60">
        <v>65.047415094691402</v>
      </c>
      <c r="V60" t="s">
        <v>132</v>
      </c>
      <c r="W60" s="2">
        <f t="shared" si="2"/>
        <v>173.03747198591898</v>
      </c>
      <c r="X60">
        <v>1.7303747198591899</v>
      </c>
      <c r="Y60" t="s">
        <v>137</v>
      </c>
      <c r="Z60" t="s">
        <v>142</v>
      </c>
      <c r="AA60">
        <v>110.364335231364</v>
      </c>
    </row>
    <row r="61" spans="1:27" x14ac:dyDescent="0.35">
      <c r="A61" t="s">
        <v>30</v>
      </c>
      <c r="B61" t="s">
        <v>83</v>
      </c>
      <c r="C61" s="1">
        <v>63.828398347710902</v>
      </c>
      <c r="D61" s="2">
        <v>30</v>
      </c>
      <c r="E61">
        <v>484</v>
      </c>
      <c r="F61" s="1">
        <f t="shared" si="0"/>
        <v>-29831.326277278797</v>
      </c>
      <c r="G61">
        <f t="shared" si="1"/>
        <v>30892.944800292076</v>
      </c>
      <c r="H61" s="1">
        <v>1061.6185230132801</v>
      </c>
      <c r="I61" t="s">
        <v>127</v>
      </c>
      <c r="J61">
        <v>100</v>
      </c>
      <c r="K61">
        <v>16</v>
      </c>
      <c r="L61">
        <v>26</v>
      </c>
      <c r="M61">
        <v>7</v>
      </c>
      <c r="N61" t="s">
        <v>135</v>
      </c>
      <c r="O61" s="1">
        <v>7.2937225968677204</v>
      </c>
      <c r="P61" t="s">
        <v>144</v>
      </c>
      <c r="Q61" t="s">
        <v>151</v>
      </c>
      <c r="R61">
        <v>11</v>
      </c>
      <c r="S61">
        <v>176</v>
      </c>
      <c r="T61">
        <v>4</v>
      </c>
      <c r="U61">
        <v>1.90076224351945</v>
      </c>
      <c r="V61" t="s">
        <v>132</v>
      </c>
      <c r="W61" s="2">
        <f t="shared" si="2"/>
        <v>44.719401546382301</v>
      </c>
      <c r="X61">
        <v>0.44719401546382298</v>
      </c>
      <c r="Y61" t="s">
        <v>138</v>
      </c>
      <c r="Z61" t="s">
        <v>141</v>
      </c>
      <c r="AA61">
        <v>312.57427361009297</v>
      </c>
    </row>
    <row r="62" spans="1:27" x14ac:dyDescent="0.35">
      <c r="A62" t="s">
        <v>23</v>
      </c>
      <c r="B62" t="s">
        <v>84</v>
      </c>
      <c r="C62" s="1">
        <v>17.028027920188698</v>
      </c>
      <c r="D62" s="2">
        <v>16</v>
      </c>
      <c r="E62">
        <v>380</v>
      </c>
      <c r="F62" s="1">
        <f t="shared" si="0"/>
        <v>2393.4337399147244</v>
      </c>
      <c r="G62">
        <f t="shared" si="1"/>
        <v>6470.6506096717058</v>
      </c>
      <c r="H62" s="1">
        <v>8864.0843495864301</v>
      </c>
      <c r="I62" t="s">
        <v>129</v>
      </c>
      <c r="J62">
        <v>41</v>
      </c>
      <c r="K62">
        <v>27</v>
      </c>
      <c r="L62">
        <v>72</v>
      </c>
      <c r="M62">
        <v>8</v>
      </c>
      <c r="N62" t="s">
        <v>136</v>
      </c>
      <c r="O62" s="1">
        <v>4.3813681581023101</v>
      </c>
      <c r="P62" t="s">
        <v>147</v>
      </c>
      <c r="Q62" t="s">
        <v>149</v>
      </c>
      <c r="R62">
        <v>29</v>
      </c>
      <c r="S62">
        <v>929</v>
      </c>
      <c r="T62">
        <v>24</v>
      </c>
      <c r="U62">
        <v>87.213057815135599</v>
      </c>
      <c r="V62" t="s">
        <v>132</v>
      </c>
      <c r="W62" s="2">
        <f t="shared" si="2"/>
        <v>285.30906166490502</v>
      </c>
      <c r="X62">
        <v>2.8530906166490499</v>
      </c>
      <c r="Y62" t="s">
        <v>139</v>
      </c>
      <c r="Z62" t="s">
        <v>141</v>
      </c>
      <c r="AA62">
        <v>430.16909697513597</v>
      </c>
    </row>
    <row r="63" spans="1:27" x14ac:dyDescent="0.35">
      <c r="A63" t="s">
        <v>21</v>
      </c>
      <c r="B63" t="s">
        <v>85</v>
      </c>
      <c r="C63" s="1">
        <v>52.028749903294901</v>
      </c>
      <c r="D63" s="2">
        <v>23</v>
      </c>
      <c r="E63">
        <v>117</v>
      </c>
      <c r="F63" s="1">
        <f t="shared" si="0"/>
        <v>798.22561221074648</v>
      </c>
      <c r="G63">
        <f t="shared" si="1"/>
        <v>6087.3637386855034</v>
      </c>
      <c r="H63" s="1">
        <v>6885.5893508962499</v>
      </c>
      <c r="I63" t="s">
        <v>128</v>
      </c>
      <c r="J63">
        <v>32</v>
      </c>
      <c r="K63">
        <v>23</v>
      </c>
      <c r="L63">
        <v>36</v>
      </c>
      <c r="M63">
        <v>7</v>
      </c>
      <c r="N63" t="s">
        <v>136</v>
      </c>
      <c r="O63" s="1">
        <v>9.0303404225219399</v>
      </c>
      <c r="P63" t="s">
        <v>147</v>
      </c>
      <c r="Q63" t="s">
        <v>151</v>
      </c>
      <c r="R63">
        <v>14</v>
      </c>
      <c r="S63">
        <v>480</v>
      </c>
      <c r="T63">
        <v>12</v>
      </c>
      <c r="U63">
        <v>78.702393968878894</v>
      </c>
      <c r="V63" t="s">
        <v>132</v>
      </c>
      <c r="W63" s="2">
        <f t="shared" si="2"/>
        <v>436.74705382050502</v>
      </c>
      <c r="X63">
        <v>4.3674705382050503</v>
      </c>
      <c r="Y63" t="s">
        <v>138</v>
      </c>
      <c r="Z63" t="s">
        <v>141</v>
      </c>
      <c r="AA63">
        <v>164.366528243419</v>
      </c>
    </row>
    <row r="64" spans="1:27" x14ac:dyDescent="0.35">
      <c r="A64" t="s">
        <v>30</v>
      </c>
      <c r="B64" t="s">
        <v>86</v>
      </c>
      <c r="C64" s="1">
        <v>72.796353955587307</v>
      </c>
      <c r="D64" s="2">
        <v>89</v>
      </c>
      <c r="E64">
        <v>270</v>
      </c>
      <c r="F64" s="1">
        <f t="shared" si="0"/>
        <v>-15755.268734279354</v>
      </c>
      <c r="G64">
        <f t="shared" si="1"/>
        <v>19655.015568008574</v>
      </c>
      <c r="H64" s="1">
        <v>3899.7468337292198</v>
      </c>
      <c r="I64" t="s">
        <v>128</v>
      </c>
      <c r="J64">
        <v>86</v>
      </c>
      <c r="K64">
        <v>2</v>
      </c>
      <c r="L64">
        <v>40</v>
      </c>
      <c r="M64">
        <v>7</v>
      </c>
      <c r="N64" t="s">
        <v>136</v>
      </c>
      <c r="O64" s="1">
        <v>7.2917013887767697</v>
      </c>
      <c r="P64" t="s">
        <v>145</v>
      </c>
      <c r="Q64" t="s">
        <v>149</v>
      </c>
      <c r="R64">
        <v>13</v>
      </c>
      <c r="S64">
        <v>751</v>
      </c>
      <c r="T64">
        <v>14</v>
      </c>
      <c r="U64">
        <v>21.048642725168602</v>
      </c>
      <c r="V64" t="s">
        <v>131</v>
      </c>
      <c r="W64" s="2">
        <f t="shared" si="2"/>
        <v>187.400140404437</v>
      </c>
      <c r="X64">
        <v>1.87400140404437</v>
      </c>
      <c r="Y64" t="s">
        <v>140</v>
      </c>
      <c r="Z64" t="s">
        <v>143</v>
      </c>
      <c r="AA64">
        <v>320.84651575911101</v>
      </c>
    </row>
    <row r="65" spans="1:27" x14ac:dyDescent="0.35">
      <c r="A65" t="s">
        <v>23</v>
      </c>
      <c r="B65" t="s">
        <v>87</v>
      </c>
      <c r="C65" s="1">
        <v>13.0173767852878</v>
      </c>
      <c r="D65" s="2">
        <v>55</v>
      </c>
      <c r="E65">
        <v>246</v>
      </c>
      <c r="F65" s="1">
        <f t="shared" si="0"/>
        <v>1054.6744516694212</v>
      </c>
      <c r="G65">
        <f t="shared" si="1"/>
        <v>3202.2746891807988</v>
      </c>
      <c r="H65" s="1">
        <v>4256.9491408502199</v>
      </c>
      <c r="I65" t="s">
        <v>127</v>
      </c>
      <c r="J65">
        <v>54</v>
      </c>
      <c r="K65">
        <v>19</v>
      </c>
      <c r="L65">
        <v>10</v>
      </c>
      <c r="M65">
        <v>4</v>
      </c>
      <c r="N65" t="s">
        <v>134</v>
      </c>
      <c r="O65" s="1">
        <v>2.45793352798733</v>
      </c>
      <c r="P65" t="s">
        <v>146</v>
      </c>
      <c r="Q65" t="s">
        <v>153</v>
      </c>
      <c r="R65">
        <v>18</v>
      </c>
      <c r="S65">
        <v>736</v>
      </c>
      <c r="T65">
        <v>10</v>
      </c>
      <c r="U65">
        <v>20.075003975630398</v>
      </c>
      <c r="V65" t="s">
        <v>133</v>
      </c>
      <c r="W65" s="2">
        <f t="shared" si="2"/>
        <v>363.284329038213</v>
      </c>
      <c r="X65">
        <v>3.6328432903821302</v>
      </c>
      <c r="Y65" t="s">
        <v>140</v>
      </c>
      <c r="Z65" t="s">
        <v>141</v>
      </c>
      <c r="AA65">
        <v>687.28617786641701</v>
      </c>
    </row>
    <row r="66" spans="1:27" x14ac:dyDescent="0.35">
      <c r="A66" t="s">
        <v>23</v>
      </c>
      <c r="B66" t="s">
        <v>88</v>
      </c>
      <c r="C66" s="1">
        <v>89.634095608135297</v>
      </c>
      <c r="D66" s="2">
        <v>11</v>
      </c>
      <c r="E66">
        <v>134</v>
      </c>
      <c r="F66" s="1">
        <f t="shared" si="0"/>
        <v>-3552.2379331229586</v>
      </c>
      <c r="G66">
        <f t="shared" si="1"/>
        <v>12010.968811490129</v>
      </c>
      <c r="H66" s="1">
        <v>8458.7308783671706</v>
      </c>
      <c r="I66" t="s">
        <v>129</v>
      </c>
      <c r="J66">
        <v>73</v>
      </c>
      <c r="K66">
        <v>27</v>
      </c>
      <c r="L66">
        <v>75</v>
      </c>
      <c r="M66">
        <v>6</v>
      </c>
      <c r="N66" t="s">
        <v>136</v>
      </c>
      <c r="O66" s="1">
        <v>4.5853534681946497</v>
      </c>
      <c r="P66" t="s">
        <v>144</v>
      </c>
      <c r="Q66" t="s">
        <v>150</v>
      </c>
      <c r="R66">
        <v>17</v>
      </c>
      <c r="S66">
        <v>328</v>
      </c>
      <c r="T66">
        <v>6</v>
      </c>
      <c r="U66">
        <v>8.6930424258772803</v>
      </c>
      <c r="V66" t="s">
        <v>132</v>
      </c>
      <c r="W66" s="2">
        <f t="shared" si="2"/>
        <v>15.948631471751401</v>
      </c>
      <c r="X66">
        <v>0.15948631471751401</v>
      </c>
      <c r="Y66" t="s">
        <v>138</v>
      </c>
      <c r="Z66" t="s">
        <v>143</v>
      </c>
      <c r="AA66">
        <v>771.225084681157</v>
      </c>
    </row>
    <row r="67" spans="1:27" x14ac:dyDescent="0.35">
      <c r="A67" t="s">
        <v>23</v>
      </c>
      <c r="B67" t="s">
        <v>89</v>
      </c>
      <c r="C67" s="1">
        <v>33.697717206643098</v>
      </c>
      <c r="D67" s="2">
        <v>72</v>
      </c>
      <c r="E67">
        <v>457</v>
      </c>
      <c r="F67" s="1">
        <f t="shared" ref="F67:F101" si="3">H67-G67</f>
        <v>-7045.2770769539056</v>
      </c>
      <c r="G67">
        <f t="shared" ref="G67:G101" si="4">C67*E67</f>
        <v>15399.856763435895</v>
      </c>
      <c r="H67" s="1">
        <v>8354.5796864819895</v>
      </c>
      <c r="I67" t="s">
        <v>130</v>
      </c>
      <c r="J67">
        <v>57</v>
      </c>
      <c r="K67">
        <v>24</v>
      </c>
      <c r="L67">
        <v>54</v>
      </c>
      <c r="M67">
        <v>8</v>
      </c>
      <c r="N67" t="s">
        <v>136</v>
      </c>
      <c r="O67" s="1">
        <v>6.5805413478845898</v>
      </c>
      <c r="P67" t="s">
        <v>148</v>
      </c>
      <c r="Q67" t="s">
        <v>151</v>
      </c>
      <c r="R67">
        <v>16</v>
      </c>
      <c r="S67">
        <v>358</v>
      </c>
      <c r="T67">
        <v>21</v>
      </c>
      <c r="U67">
        <v>1.59722274305067</v>
      </c>
      <c r="V67" t="s">
        <v>132</v>
      </c>
      <c r="W67" s="2">
        <f t="shared" ref="W67:W101" si="5">X67*100</f>
        <v>491.10959548423301</v>
      </c>
      <c r="X67">
        <v>4.9110959548423301</v>
      </c>
      <c r="Y67" t="s">
        <v>139</v>
      </c>
      <c r="Z67" t="s">
        <v>143</v>
      </c>
      <c r="AA67">
        <v>555.85910367174301</v>
      </c>
    </row>
    <row r="68" spans="1:27" x14ac:dyDescent="0.35">
      <c r="A68" t="s">
        <v>23</v>
      </c>
      <c r="B68" t="s">
        <v>90</v>
      </c>
      <c r="C68" s="1">
        <v>26.034869773962001</v>
      </c>
      <c r="D68" s="2">
        <v>52</v>
      </c>
      <c r="E68">
        <v>704</v>
      </c>
      <c r="F68" s="1">
        <f t="shared" si="3"/>
        <v>-9960.8267028490991</v>
      </c>
      <c r="G68">
        <f t="shared" si="4"/>
        <v>18328.548320869249</v>
      </c>
      <c r="H68" s="1">
        <v>8367.7216180201503</v>
      </c>
      <c r="I68" t="s">
        <v>129</v>
      </c>
      <c r="J68">
        <v>13</v>
      </c>
      <c r="K68">
        <v>17</v>
      </c>
      <c r="L68">
        <v>19</v>
      </c>
      <c r="M68">
        <v>8</v>
      </c>
      <c r="N68" t="s">
        <v>134</v>
      </c>
      <c r="O68" s="1">
        <v>2.2161427287713602</v>
      </c>
      <c r="P68" t="s">
        <v>148</v>
      </c>
      <c r="Q68" t="s">
        <v>151</v>
      </c>
      <c r="R68">
        <v>24</v>
      </c>
      <c r="S68">
        <v>867</v>
      </c>
      <c r="T68">
        <v>28</v>
      </c>
      <c r="U68">
        <v>42.084436738309897</v>
      </c>
      <c r="V68" t="s">
        <v>132</v>
      </c>
      <c r="W68" s="2">
        <f t="shared" si="5"/>
        <v>344.80632883402598</v>
      </c>
      <c r="X68">
        <v>3.44806328834026</v>
      </c>
      <c r="Y68" t="s">
        <v>137</v>
      </c>
      <c r="Z68" t="s">
        <v>141</v>
      </c>
      <c r="AA68">
        <v>393.84334857842703</v>
      </c>
    </row>
    <row r="69" spans="1:27" x14ac:dyDescent="0.35">
      <c r="A69" t="s">
        <v>23</v>
      </c>
      <c r="B69" t="s">
        <v>91</v>
      </c>
      <c r="C69" s="1">
        <v>87.755432354001002</v>
      </c>
      <c r="D69" s="2">
        <v>16</v>
      </c>
      <c r="E69">
        <v>513</v>
      </c>
      <c r="F69" s="1">
        <f t="shared" si="3"/>
        <v>-35544.738765094182</v>
      </c>
      <c r="G69">
        <f t="shared" si="4"/>
        <v>45018.536797602515</v>
      </c>
      <c r="H69" s="1">
        <v>9473.7980325083299</v>
      </c>
      <c r="I69" t="s">
        <v>128</v>
      </c>
      <c r="J69">
        <v>12</v>
      </c>
      <c r="K69">
        <v>9</v>
      </c>
      <c r="L69">
        <v>71</v>
      </c>
      <c r="M69">
        <v>9</v>
      </c>
      <c r="N69" t="s">
        <v>136</v>
      </c>
      <c r="O69" s="1">
        <v>9.1478115447106294</v>
      </c>
      <c r="P69" t="s">
        <v>144</v>
      </c>
      <c r="Q69" t="s">
        <v>149</v>
      </c>
      <c r="R69">
        <v>10</v>
      </c>
      <c r="S69">
        <v>198</v>
      </c>
      <c r="T69">
        <v>11</v>
      </c>
      <c r="U69">
        <v>7.0578761469782298</v>
      </c>
      <c r="V69" t="s">
        <v>131</v>
      </c>
      <c r="W69" s="2">
        <f t="shared" si="5"/>
        <v>13.1955444311814</v>
      </c>
      <c r="X69">
        <v>0.131955444311814</v>
      </c>
      <c r="Y69" t="s">
        <v>140</v>
      </c>
      <c r="Z69" t="s">
        <v>143</v>
      </c>
      <c r="AA69">
        <v>169.27180138478599</v>
      </c>
    </row>
    <row r="70" spans="1:27" x14ac:dyDescent="0.35">
      <c r="A70" t="s">
        <v>21</v>
      </c>
      <c r="B70" t="s">
        <v>92</v>
      </c>
      <c r="C70" s="1">
        <v>37.931812382790298</v>
      </c>
      <c r="D70" s="2">
        <v>29</v>
      </c>
      <c r="E70">
        <v>163</v>
      </c>
      <c r="F70" s="1">
        <f t="shared" si="3"/>
        <v>-2632.6669856138287</v>
      </c>
      <c r="G70">
        <f t="shared" si="4"/>
        <v>6182.8854183948188</v>
      </c>
      <c r="H70" s="1">
        <v>3550.21843278099</v>
      </c>
      <c r="I70" t="s">
        <v>127</v>
      </c>
      <c r="J70">
        <v>0</v>
      </c>
      <c r="K70">
        <v>8</v>
      </c>
      <c r="L70">
        <v>58</v>
      </c>
      <c r="M70">
        <v>8</v>
      </c>
      <c r="N70" t="s">
        <v>135</v>
      </c>
      <c r="O70" s="1">
        <v>1.19425186488499</v>
      </c>
      <c r="P70" t="s">
        <v>145</v>
      </c>
      <c r="Q70" t="s">
        <v>153</v>
      </c>
      <c r="R70">
        <v>2</v>
      </c>
      <c r="S70">
        <v>375</v>
      </c>
      <c r="T70">
        <v>18</v>
      </c>
      <c r="U70">
        <v>97.113581563462205</v>
      </c>
      <c r="V70" t="s">
        <v>132</v>
      </c>
      <c r="W70" s="2">
        <f t="shared" si="5"/>
        <v>198.34678721741801</v>
      </c>
      <c r="X70">
        <v>1.9834678721741801</v>
      </c>
      <c r="Y70" t="s">
        <v>139</v>
      </c>
      <c r="Z70" t="s">
        <v>141</v>
      </c>
      <c r="AA70">
        <v>299.70630311810299</v>
      </c>
    </row>
    <row r="71" spans="1:27" x14ac:dyDescent="0.35">
      <c r="A71" t="s">
        <v>23</v>
      </c>
      <c r="B71" t="s">
        <v>93</v>
      </c>
      <c r="C71" s="1">
        <v>54.865528517069698</v>
      </c>
      <c r="D71" s="2">
        <v>62</v>
      </c>
      <c r="E71">
        <v>511</v>
      </c>
      <c r="F71" s="1">
        <f t="shared" si="3"/>
        <v>-26283.903984738499</v>
      </c>
      <c r="G71">
        <f t="shared" si="4"/>
        <v>28036.285072222618</v>
      </c>
      <c r="H71" s="1">
        <v>1752.3810874841199</v>
      </c>
      <c r="I71" t="s">
        <v>127</v>
      </c>
      <c r="J71">
        <v>95</v>
      </c>
      <c r="K71">
        <v>1</v>
      </c>
      <c r="L71">
        <v>27</v>
      </c>
      <c r="M71">
        <v>3</v>
      </c>
      <c r="N71" t="s">
        <v>135</v>
      </c>
      <c r="O71" s="1">
        <v>9.7052867901203399</v>
      </c>
      <c r="P71" t="s">
        <v>147</v>
      </c>
      <c r="Q71" t="s">
        <v>151</v>
      </c>
      <c r="R71">
        <v>9</v>
      </c>
      <c r="S71">
        <v>862</v>
      </c>
      <c r="T71">
        <v>7</v>
      </c>
      <c r="U71">
        <v>77.627765812748095</v>
      </c>
      <c r="V71" t="s">
        <v>133</v>
      </c>
      <c r="W71" s="2">
        <f t="shared" si="5"/>
        <v>136.23879886491</v>
      </c>
      <c r="X71">
        <v>1.3623879886490999</v>
      </c>
      <c r="Y71" t="s">
        <v>138</v>
      </c>
      <c r="Z71" t="s">
        <v>141</v>
      </c>
      <c r="AA71">
        <v>207.66320620857499</v>
      </c>
    </row>
    <row r="72" spans="1:27" x14ac:dyDescent="0.35">
      <c r="A72" t="s">
        <v>21</v>
      </c>
      <c r="B72" t="s">
        <v>94</v>
      </c>
      <c r="C72" s="1">
        <v>47.914541824058702</v>
      </c>
      <c r="D72" s="2">
        <v>90</v>
      </c>
      <c r="E72">
        <v>32</v>
      </c>
      <c r="F72" s="1">
        <f t="shared" si="3"/>
        <v>5481.6226488335014</v>
      </c>
      <c r="G72">
        <f t="shared" si="4"/>
        <v>1533.2653383698785</v>
      </c>
      <c r="H72" s="1">
        <v>7014.8879872033804</v>
      </c>
      <c r="I72" t="s">
        <v>129</v>
      </c>
      <c r="J72">
        <v>10</v>
      </c>
      <c r="K72">
        <v>12</v>
      </c>
      <c r="L72">
        <v>22</v>
      </c>
      <c r="M72">
        <v>4</v>
      </c>
      <c r="N72" t="s">
        <v>135</v>
      </c>
      <c r="O72" s="1">
        <v>6.3157177546007199</v>
      </c>
      <c r="P72" t="s">
        <v>144</v>
      </c>
      <c r="Q72" t="s">
        <v>153</v>
      </c>
      <c r="R72">
        <v>22</v>
      </c>
      <c r="S72">
        <v>775</v>
      </c>
      <c r="T72">
        <v>16</v>
      </c>
      <c r="U72">
        <v>11.440781823761199</v>
      </c>
      <c r="V72" t="s">
        <v>131</v>
      </c>
      <c r="W72" s="2">
        <f t="shared" si="5"/>
        <v>183.05755986122301</v>
      </c>
      <c r="X72">
        <v>1.8305755986122301</v>
      </c>
      <c r="Y72" t="s">
        <v>137</v>
      </c>
      <c r="Z72" t="s">
        <v>143</v>
      </c>
      <c r="AA72">
        <v>183.27289874871099</v>
      </c>
    </row>
    <row r="73" spans="1:27" x14ac:dyDescent="0.35">
      <c r="A73" t="s">
        <v>30</v>
      </c>
      <c r="B73" t="s">
        <v>95</v>
      </c>
      <c r="C73" s="1">
        <v>6.3815331627479601</v>
      </c>
      <c r="D73" s="2">
        <v>14</v>
      </c>
      <c r="E73">
        <v>637</v>
      </c>
      <c r="F73" s="1">
        <f t="shared" si="3"/>
        <v>4115.3004607549892</v>
      </c>
      <c r="G73">
        <f t="shared" si="4"/>
        <v>4065.0366246704507</v>
      </c>
      <c r="H73" s="1">
        <v>8180.3370854254399</v>
      </c>
      <c r="I73" t="s">
        <v>129</v>
      </c>
      <c r="J73">
        <v>76</v>
      </c>
      <c r="K73">
        <v>2</v>
      </c>
      <c r="L73">
        <v>26</v>
      </c>
      <c r="M73">
        <v>6</v>
      </c>
      <c r="N73" t="s">
        <v>134</v>
      </c>
      <c r="O73" s="1">
        <v>9.2281903170525101</v>
      </c>
      <c r="P73" t="s">
        <v>145</v>
      </c>
      <c r="Q73" t="s">
        <v>153</v>
      </c>
      <c r="R73">
        <v>2</v>
      </c>
      <c r="S73">
        <v>258</v>
      </c>
      <c r="T73">
        <v>10</v>
      </c>
      <c r="U73">
        <v>30.661677477859499</v>
      </c>
      <c r="V73" t="s">
        <v>133</v>
      </c>
      <c r="W73" s="2">
        <f t="shared" si="5"/>
        <v>207.87506078749601</v>
      </c>
      <c r="X73">
        <v>2.07875060787496</v>
      </c>
      <c r="Y73" t="s">
        <v>137</v>
      </c>
      <c r="Z73" t="s">
        <v>141</v>
      </c>
      <c r="AA73">
        <v>405.167067888855</v>
      </c>
    </row>
    <row r="74" spans="1:27" x14ac:dyDescent="0.35">
      <c r="A74" t="s">
        <v>30</v>
      </c>
      <c r="B74" t="s">
        <v>96</v>
      </c>
      <c r="C74" s="1">
        <v>90.204427520528</v>
      </c>
      <c r="D74" s="2">
        <v>88</v>
      </c>
      <c r="E74">
        <v>478</v>
      </c>
      <c r="F74" s="1">
        <f t="shared" si="3"/>
        <v>-40484.594373500135</v>
      </c>
      <c r="G74">
        <f t="shared" si="4"/>
        <v>43117.716354812386</v>
      </c>
      <c r="H74" s="1">
        <v>2633.1219813122498</v>
      </c>
      <c r="I74" t="s">
        <v>127</v>
      </c>
      <c r="J74">
        <v>57</v>
      </c>
      <c r="K74">
        <v>29</v>
      </c>
      <c r="L74">
        <v>77</v>
      </c>
      <c r="M74">
        <v>9</v>
      </c>
      <c r="N74" t="s">
        <v>134</v>
      </c>
      <c r="O74" s="1">
        <v>6.5996141596895397</v>
      </c>
      <c r="P74" t="s">
        <v>144</v>
      </c>
      <c r="Q74" t="s">
        <v>153</v>
      </c>
      <c r="R74">
        <v>21</v>
      </c>
      <c r="S74">
        <v>152</v>
      </c>
      <c r="T74">
        <v>11</v>
      </c>
      <c r="U74">
        <v>55.760492895244198</v>
      </c>
      <c r="V74" t="s">
        <v>133</v>
      </c>
      <c r="W74" s="2">
        <f t="shared" si="5"/>
        <v>321.33296074382997</v>
      </c>
      <c r="X74">
        <v>3.2133296074383</v>
      </c>
      <c r="Y74" t="s">
        <v>139</v>
      </c>
      <c r="Z74" t="s">
        <v>142</v>
      </c>
      <c r="AA74">
        <v>677.94456984618296</v>
      </c>
    </row>
    <row r="75" spans="1:27" x14ac:dyDescent="0.35">
      <c r="A75" t="s">
        <v>30</v>
      </c>
      <c r="B75" t="s">
        <v>97</v>
      </c>
      <c r="C75" s="1">
        <v>83.851017681304597</v>
      </c>
      <c r="D75" s="2">
        <v>41</v>
      </c>
      <c r="E75">
        <v>375</v>
      </c>
      <c r="F75" s="1">
        <f t="shared" si="3"/>
        <v>-23533.244714348544</v>
      </c>
      <c r="G75">
        <f t="shared" si="4"/>
        <v>31444.131630489224</v>
      </c>
      <c r="H75" s="1">
        <v>7910.8869161406801</v>
      </c>
      <c r="I75" t="s">
        <v>130</v>
      </c>
      <c r="J75">
        <v>17</v>
      </c>
      <c r="K75">
        <v>25</v>
      </c>
      <c r="L75">
        <v>66</v>
      </c>
      <c r="M75">
        <v>5</v>
      </c>
      <c r="N75" t="s">
        <v>135</v>
      </c>
      <c r="O75" s="1">
        <v>1.5129368369160701</v>
      </c>
      <c r="P75" t="s">
        <v>147</v>
      </c>
      <c r="Q75" t="s">
        <v>152</v>
      </c>
      <c r="R75">
        <v>13</v>
      </c>
      <c r="S75">
        <v>444</v>
      </c>
      <c r="T75">
        <v>4</v>
      </c>
      <c r="U75">
        <v>46.870238797617098</v>
      </c>
      <c r="V75" t="s">
        <v>132</v>
      </c>
      <c r="W75" s="2">
        <f t="shared" si="5"/>
        <v>462.05460645137003</v>
      </c>
      <c r="X75">
        <v>4.6205460645137002</v>
      </c>
      <c r="Y75" t="s">
        <v>137</v>
      </c>
      <c r="Z75" t="s">
        <v>141</v>
      </c>
      <c r="AA75">
        <v>866.472800129657</v>
      </c>
    </row>
    <row r="76" spans="1:27" x14ac:dyDescent="0.35">
      <c r="A76" t="s">
        <v>21</v>
      </c>
      <c r="B76" t="s">
        <v>98</v>
      </c>
      <c r="C76" s="1">
        <v>3.1700114135661499</v>
      </c>
      <c r="D76" s="2">
        <v>64</v>
      </c>
      <c r="E76">
        <v>904</v>
      </c>
      <c r="F76" s="1">
        <f t="shared" si="3"/>
        <v>2844.2549781054804</v>
      </c>
      <c r="G76">
        <f t="shared" si="4"/>
        <v>2865.6903178637995</v>
      </c>
      <c r="H76" s="1">
        <v>5709.9452959692799</v>
      </c>
      <c r="I76" t="s">
        <v>129</v>
      </c>
      <c r="J76">
        <v>41</v>
      </c>
      <c r="K76">
        <v>6</v>
      </c>
      <c r="L76">
        <v>1</v>
      </c>
      <c r="M76">
        <v>5</v>
      </c>
      <c r="N76" t="s">
        <v>134</v>
      </c>
      <c r="O76" s="1">
        <v>5.2376546500374399</v>
      </c>
      <c r="P76" t="s">
        <v>147</v>
      </c>
      <c r="Q76" t="s">
        <v>150</v>
      </c>
      <c r="R76">
        <v>1</v>
      </c>
      <c r="S76">
        <v>919</v>
      </c>
      <c r="T76">
        <v>9</v>
      </c>
      <c r="U76">
        <v>80.580852156447804</v>
      </c>
      <c r="V76" t="s">
        <v>132</v>
      </c>
      <c r="W76" s="2">
        <f t="shared" si="5"/>
        <v>39.661272410993497</v>
      </c>
      <c r="X76">
        <v>0.39661272410993498</v>
      </c>
      <c r="Y76" t="s">
        <v>139</v>
      </c>
      <c r="Z76" t="s">
        <v>141</v>
      </c>
      <c r="AA76">
        <v>341.55265678322297</v>
      </c>
    </row>
    <row r="77" spans="1:27" x14ac:dyDescent="0.35">
      <c r="A77" t="s">
        <v>23</v>
      </c>
      <c r="B77" t="s">
        <v>99</v>
      </c>
      <c r="C77" s="1">
        <v>92.996884233970604</v>
      </c>
      <c r="D77" s="2">
        <v>29</v>
      </c>
      <c r="E77">
        <v>106</v>
      </c>
      <c r="F77" s="1">
        <f t="shared" si="3"/>
        <v>-7968.5961390215534</v>
      </c>
      <c r="G77">
        <f t="shared" si="4"/>
        <v>9857.6697288008836</v>
      </c>
      <c r="H77" s="1">
        <v>1889.07358977933</v>
      </c>
      <c r="I77" t="s">
        <v>127</v>
      </c>
      <c r="J77">
        <v>16</v>
      </c>
      <c r="K77">
        <v>20</v>
      </c>
      <c r="L77">
        <v>56</v>
      </c>
      <c r="M77">
        <v>10</v>
      </c>
      <c r="N77" t="s">
        <v>136</v>
      </c>
      <c r="O77" s="1">
        <v>2.47389776104546</v>
      </c>
      <c r="P77" t="s">
        <v>144</v>
      </c>
      <c r="Q77" t="s">
        <v>152</v>
      </c>
      <c r="R77">
        <v>25</v>
      </c>
      <c r="S77">
        <v>759</v>
      </c>
      <c r="T77">
        <v>11</v>
      </c>
      <c r="U77">
        <v>48.064782640006499</v>
      </c>
      <c r="V77" t="s">
        <v>131</v>
      </c>
      <c r="W77" s="2">
        <f t="shared" si="5"/>
        <v>203.00690886687499</v>
      </c>
      <c r="X77">
        <v>2.0300690886687498</v>
      </c>
      <c r="Y77" t="s">
        <v>138</v>
      </c>
      <c r="Z77" t="s">
        <v>143</v>
      </c>
      <c r="AA77">
        <v>873.12964801765099</v>
      </c>
    </row>
    <row r="78" spans="1:27" x14ac:dyDescent="0.35">
      <c r="A78" t="s">
        <v>21</v>
      </c>
      <c r="B78" t="s">
        <v>100</v>
      </c>
      <c r="C78" s="1">
        <v>69.108799547430294</v>
      </c>
      <c r="D78" s="2">
        <v>23</v>
      </c>
      <c r="E78">
        <v>241</v>
      </c>
      <c r="F78" s="1">
        <f t="shared" si="3"/>
        <v>-11326.844706632954</v>
      </c>
      <c r="G78">
        <f t="shared" si="4"/>
        <v>16655.220690930702</v>
      </c>
      <c r="H78" s="1">
        <v>5328.3759842977497</v>
      </c>
      <c r="I78" t="s">
        <v>130</v>
      </c>
      <c r="J78">
        <v>38</v>
      </c>
      <c r="K78">
        <v>1</v>
      </c>
      <c r="L78">
        <v>22</v>
      </c>
      <c r="M78">
        <v>10</v>
      </c>
      <c r="N78" t="s">
        <v>134</v>
      </c>
      <c r="O78" s="1">
        <v>7.0545383368369201</v>
      </c>
      <c r="P78" t="s">
        <v>145</v>
      </c>
      <c r="Q78" t="s">
        <v>153</v>
      </c>
      <c r="R78">
        <v>25</v>
      </c>
      <c r="S78">
        <v>985</v>
      </c>
      <c r="T78">
        <v>24</v>
      </c>
      <c r="U78">
        <v>64.323597795600193</v>
      </c>
      <c r="V78" t="s">
        <v>133</v>
      </c>
      <c r="W78" s="2">
        <f t="shared" si="5"/>
        <v>218.00374515822099</v>
      </c>
      <c r="X78">
        <v>2.1800374515822099</v>
      </c>
      <c r="Y78" t="s">
        <v>139</v>
      </c>
      <c r="Z78" t="s">
        <v>141</v>
      </c>
      <c r="AA78">
        <v>997.41345013319403</v>
      </c>
    </row>
    <row r="79" spans="1:27" x14ac:dyDescent="0.35">
      <c r="A79" t="s">
        <v>21</v>
      </c>
      <c r="B79" t="s">
        <v>101</v>
      </c>
      <c r="C79" s="1">
        <v>57.449742958971399</v>
      </c>
      <c r="D79" s="2">
        <v>14</v>
      </c>
      <c r="E79">
        <v>359</v>
      </c>
      <c r="F79" s="1">
        <f t="shared" si="3"/>
        <v>-18140.697544727944</v>
      </c>
      <c r="G79">
        <f t="shared" si="4"/>
        <v>20624.457722270734</v>
      </c>
      <c r="H79" s="1">
        <v>2483.7601775427902</v>
      </c>
      <c r="I79" t="s">
        <v>128</v>
      </c>
      <c r="J79">
        <v>96</v>
      </c>
      <c r="K79">
        <v>28</v>
      </c>
      <c r="L79">
        <v>57</v>
      </c>
      <c r="M79">
        <v>4</v>
      </c>
      <c r="N79" t="s">
        <v>135</v>
      </c>
      <c r="O79" s="1">
        <v>6.7809466256178901</v>
      </c>
      <c r="P79" t="s">
        <v>144</v>
      </c>
      <c r="Q79" t="s">
        <v>151</v>
      </c>
      <c r="R79">
        <v>26</v>
      </c>
      <c r="S79">
        <v>334</v>
      </c>
      <c r="T79">
        <v>5</v>
      </c>
      <c r="U79">
        <v>42.952444748991802</v>
      </c>
      <c r="V79" t="s">
        <v>131</v>
      </c>
      <c r="W79" s="2">
        <f t="shared" si="5"/>
        <v>305.51418183075396</v>
      </c>
      <c r="X79">
        <v>3.0551418183075398</v>
      </c>
      <c r="Y79" t="s">
        <v>137</v>
      </c>
      <c r="Z79" t="s">
        <v>142</v>
      </c>
      <c r="AA79">
        <v>852.56809891984994</v>
      </c>
    </row>
    <row r="80" spans="1:27" x14ac:dyDescent="0.35">
      <c r="A80" t="s">
        <v>21</v>
      </c>
      <c r="B80" t="s">
        <v>102</v>
      </c>
      <c r="C80" s="1">
        <v>6.30688317611191</v>
      </c>
      <c r="D80" s="2">
        <v>50</v>
      </c>
      <c r="E80">
        <v>946</v>
      </c>
      <c r="F80" s="1">
        <f t="shared" si="3"/>
        <v>-4673.8530666641173</v>
      </c>
      <c r="G80">
        <f t="shared" si="4"/>
        <v>5966.3114846018671</v>
      </c>
      <c r="H80" s="1">
        <v>1292.45841793775</v>
      </c>
      <c r="I80" t="s">
        <v>128</v>
      </c>
      <c r="J80">
        <v>5</v>
      </c>
      <c r="K80">
        <v>4</v>
      </c>
      <c r="L80">
        <v>51</v>
      </c>
      <c r="M80">
        <v>5</v>
      </c>
      <c r="N80" t="s">
        <v>135</v>
      </c>
      <c r="O80" s="1">
        <v>8.4670497708619905</v>
      </c>
      <c r="P80" t="s">
        <v>148</v>
      </c>
      <c r="Q80" t="s">
        <v>149</v>
      </c>
      <c r="R80">
        <v>25</v>
      </c>
      <c r="S80">
        <v>858</v>
      </c>
      <c r="T80">
        <v>21</v>
      </c>
      <c r="U80">
        <v>71.126514720403307</v>
      </c>
      <c r="V80" t="s">
        <v>133</v>
      </c>
      <c r="W80" s="2">
        <f t="shared" si="5"/>
        <v>409.68813324704502</v>
      </c>
      <c r="X80">
        <v>4.0968813324704501</v>
      </c>
      <c r="Y80" t="s">
        <v>140</v>
      </c>
      <c r="Z80" t="s">
        <v>143</v>
      </c>
      <c r="AA80">
        <v>323.59220343132199</v>
      </c>
    </row>
    <row r="81" spans="1:27" x14ac:dyDescent="0.35">
      <c r="A81" t="s">
        <v>21</v>
      </c>
      <c r="B81" t="s">
        <v>103</v>
      </c>
      <c r="C81" s="1">
        <v>57.057031221103202</v>
      </c>
      <c r="D81" s="2">
        <v>56</v>
      </c>
      <c r="E81">
        <v>198</v>
      </c>
      <c r="F81" s="1">
        <f t="shared" si="3"/>
        <v>-3408.5689133513533</v>
      </c>
      <c r="G81">
        <f t="shared" si="4"/>
        <v>11297.292181778434</v>
      </c>
      <c r="H81" s="1">
        <v>7888.7232684270803</v>
      </c>
      <c r="I81" t="s">
        <v>127</v>
      </c>
      <c r="J81">
        <v>31</v>
      </c>
      <c r="K81">
        <v>25</v>
      </c>
      <c r="L81">
        <v>20</v>
      </c>
      <c r="M81">
        <v>1</v>
      </c>
      <c r="N81" t="s">
        <v>135</v>
      </c>
      <c r="O81" s="1">
        <v>6.49632536429504</v>
      </c>
      <c r="P81" t="s">
        <v>146</v>
      </c>
      <c r="Q81" t="s">
        <v>153</v>
      </c>
      <c r="R81">
        <v>5</v>
      </c>
      <c r="S81">
        <v>228</v>
      </c>
      <c r="T81">
        <v>12</v>
      </c>
      <c r="U81">
        <v>57.870902924036201</v>
      </c>
      <c r="V81" t="s">
        <v>133</v>
      </c>
      <c r="W81" s="2">
        <f t="shared" si="5"/>
        <v>16.587162748060798</v>
      </c>
      <c r="X81">
        <v>0.16587162748060799</v>
      </c>
      <c r="Y81" t="s">
        <v>138</v>
      </c>
      <c r="Z81" t="s">
        <v>143</v>
      </c>
      <c r="AA81">
        <v>351.50421933503799</v>
      </c>
    </row>
    <row r="82" spans="1:27" x14ac:dyDescent="0.35">
      <c r="A82" t="s">
        <v>23</v>
      </c>
      <c r="B82" t="s">
        <v>104</v>
      </c>
      <c r="C82" s="1">
        <v>91.128318350444303</v>
      </c>
      <c r="D82" s="2">
        <v>75</v>
      </c>
      <c r="E82">
        <v>872</v>
      </c>
      <c r="F82" s="1">
        <f t="shared" si="3"/>
        <v>-70812.220918605381</v>
      </c>
      <c r="G82">
        <f t="shared" si="4"/>
        <v>79463.893601587435</v>
      </c>
      <c r="H82" s="1">
        <v>8651.67268298206</v>
      </c>
      <c r="I82" t="s">
        <v>128</v>
      </c>
      <c r="J82">
        <v>39</v>
      </c>
      <c r="K82">
        <v>14</v>
      </c>
      <c r="L82">
        <v>41</v>
      </c>
      <c r="M82">
        <v>2</v>
      </c>
      <c r="N82" t="s">
        <v>136</v>
      </c>
      <c r="O82" s="1">
        <v>2.8331846794189701</v>
      </c>
      <c r="P82" t="s">
        <v>146</v>
      </c>
      <c r="Q82" t="s">
        <v>152</v>
      </c>
      <c r="R82">
        <v>8</v>
      </c>
      <c r="S82">
        <v>202</v>
      </c>
      <c r="T82">
        <v>5</v>
      </c>
      <c r="U82">
        <v>76.961228023819999</v>
      </c>
      <c r="V82" t="s">
        <v>132</v>
      </c>
      <c r="W82" s="2">
        <f t="shared" si="5"/>
        <v>284.96621985053298</v>
      </c>
      <c r="X82">
        <v>2.8496621985053299</v>
      </c>
      <c r="Y82" t="s">
        <v>140</v>
      </c>
      <c r="Z82" t="s">
        <v>142</v>
      </c>
      <c r="AA82">
        <v>787.77985049434403</v>
      </c>
    </row>
    <row r="83" spans="1:27" x14ac:dyDescent="0.35">
      <c r="A83" t="s">
        <v>21</v>
      </c>
      <c r="B83" t="s">
        <v>105</v>
      </c>
      <c r="C83" s="1">
        <v>72.819206930318202</v>
      </c>
      <c r="D83" s="2">
        <v>9</v>
      </c>
      <c r="E83">
        <v>774</v>
      </c>
      <c r="F83" s="1">
        <f t="shared" si="3"/>
        <v>-51977.652764020429</v>
      </c>
      <c r="G83">
        <f t="shared" si="4"/>
        <v>56362.066164066287</v>
      </c>
      <c r="H83" s="1">
        <v>4384.4134000458598</v>
      </c>
      <c r="I83" t="s">
        <v>128</v>
      </c>
      <c r="J83">
        <v>48</v>
      </c>
      <c r="K83">
        <v>6</v>
      </c>
      <c r="L83">
        <v>8</v>
      </c>
      <c r="M83">
        <v>5</v>
      </c>
      <c r="N83" t="s">
        <v>135</v>
      </c>
      <c r="O83" s="1">
        <v>4.0662775015120403</v>
      </c>
      <c r="P83" t="s">
        <v>146</v>
      </c>
      <c r="Q83" t="s">
        <v>150</v>
      </c>
      <c r="R83">
        <v>28</v>
      </c>
      <c r="S83">
        <v>698</v>
      </c>
      <c r="T83">
        <v>1</v>
      </c>
      <c r="U83">
        <v>19.789592941903599</v>
      </c>
      <c r="V83" t="s">
        <v>133</v>
      </c>
      <c r="W83" s="2">
        <f t="shared" si="5"/>
        <v>254.75471215487099</v>
      </c>
      <c r="X83">
        <v>2.54754712154871</v>
      </c>
      <c r="Y83" t="s">
        <v>139</v>
      </c>
      <c r="Z83" t="s">
        <v>142</v>
      </c>
      <c r="AA83">
        <v>276.77833594679799</v>
      </c>
    </row>
    <row r="84" spans="1:27" x14ac:dyDescent="0.35">
      <c r="A84" t="s">
        <v>23</v>
      </c>
      <c r="B84" t="s">
        <v>106</v>
      </c>
      <c r="C84" s="1">
        <v>17.034930739467899</v>
      </c>
      <c r="D84" s="2">
        <v>13</v>
      </c>
      <c r="E84">
        <v>336</v>
      </c>
      <c r="F84" s="1">
        <f t="shared" si="3"/>
        <v>-2780.3548608517644</v>
      </c>
      <c r="G84">
        <f t="shared" si="4"/>
        <v>5723.7367284612146</v>
      </c>
      <c r="H84" s="1">
        <v>2943.3818676094502</v>
      </c>
      <c r="I84" t="s">
        <v>128</v>
      </c>
      <c r="J84">
        <v>42</v>
      </c>
      <c r="K84">
        <v>19</v>
      </c>
      <c r="L84">
        <v>72</v>
      </c>
      <c r="M84">
        <v>1</v>
      </c>
      <c r="N84" t="s">
        <v>134</v>
      </c>
      <c r="O84" s="1">
        <v>4.7081818735419301</v>
      </c>
      <c r="P84" t="s">
        <v>145</v>
      </c>
      <c r="Q84" t="s">
        <v>149</v>
      </c>
      <c r="R84">
        <v>6</v>
      </c>
      <c r="S84">
        <v>955</v>
      </c>
      <c r="T84">
        <v>26</v>
      </c>
      <c r="U84">
        <v>4.4652784349432402</v>
      </c>
      <c r="V84" t="s">
        <v>133</v>
      </c>
      <c r="W84" s="2">
        <f t="shared" si="5"/>
        <v>413.78770486223505</v>
      </c>
      <c r="X84">
        <v>4.1378770486223502</v>
      </c>
      <c r="Y84" t="s">
        <v>137</v>
      </c>
      <c r="Z84" t="s">
        <v>143</v>
      </c>
      <c r="AA84">
        <v>589.97855562804</v>
      </c>
    </row>
    <row r="85" spans="1:27" x14ac:dyDescent="0.35">
      <c r="A85" t="s">
        <v>21</v>
      </c>
      <c r="B85" t="s">
        <v>107</v>
      </c>
      <c r="C85" s="1">
        <v>68.911246211606297</v>
      </c>
      <c r="D85" s="2">
        <v>82</v>
      </c>
      <c r="E85">
        <v>663</v>
      </c>
      <c r="F85" s="1">
        <f t="shared" si="3"/>
        <v>-43276.401606184489</v>
      </c>
      <c r="G85">
        <f t="shared" si="4"/>
        <v>45688.156238294978</v>
      </c>
      <c r="H85" s="1">
        <v>2411.7546321104901</v>
      </c>
      <c r="I85" t="s">
        <v>128</v>
      </c>
      <c r="J85">
        <v>65</v>
      </c>
      <c r="K85">
        <v>24</v>
      </c>
      <c r="L85">
        <v>7</v>
      </c>
      <c r="M85">
        <v>8</v>
      </c>
      <c r="N85" t="s">
        <v>135</v>
      </c>
      <c r="O85" s="1">
        <v>4.94983957799694</v>
      </c>
      <c r="P85" t="s">
        <v>144</v>
      </c>
      <c r="Q85" t="s">
        <v>153</v>
      </c>
      <c r="R85">
        <v>20</v>
      </c>
      <c r="S85">
        <v>443</v>
      </c>
      <c r="T85">
        <v>5</v>
      </c>
      <c r="U85">
        <v>97.730593800533001</v>
      </c>
      <c r="V85" t="s">
        <v>132</v>
      </c>
      <c r="W85" s="2">
        <f t="shared" si="5"/>
        <v>77.300613406724707</v>
      </c>
      <c r="X85">
        <v>0.77300613406724705</v>
      </c>
      <c r="Y85" t="s">
        <v>137</v>
      </c>
      <c r="Z85" t="s">
        <v>141</v>
      </c>
      <c r="AA85">
        <v>682.97101822609295</v>
      </c>
    </row>
    <row r="86" spans="1:27" x14ac:dyDescent="0.35">
      <c r="A86" t="s">
        <v>21</v>
      </c>
      <c r="B86" t="s">
        <v>108</v>
      </c>
      <c r="C86" s="1">
        <v>89.104367292102197</v>
      </c>
      <c r="D86" s="2">
        <v>99</v>
      </c>
      <c r="E86">
        <v>618</v>
      </c>
      <c r="F86" s="1">
        <f t="shared" si="3"/>
        <v>-53018.208886670451</v>
      </c>
      <c r="G86">
        <f t="shared" si="4"/>
        <v>55066.49898651916</v>
      </c>
      <c r="H86" s="1">
        <v>2048.2900998487098</v>
      </c>
      <c r="I86" t="s">
        <v>128</v>
      </c>
      <c r="J86">
        <v>73</v>
      </c>
      <c r="K86">
        <v>26</v>
      </c>
      <c r="L86">
        <v>80</v>
      </c>
      <c r="M86">
        <v>10</v>
      </c>
      <c r="N86" t="s">
        <v>134</v>
      </c>
      <c r="O86" s="1">
        <v>8.3816156249226292</v>
      </c>
      <c r="P86" t="s">
        <v>148</v>
      </c>
      <c r="Q86" t="s">
        <v>152</v>
      </c>
      <c r="R86">
        <v>24</v>
      </c>
      <c r="S86">
        <v>589</v>
      </c>
      <c r="T86">
        <v>22</v>
      </c>
      <c r="U86">
        <v>33.808636513209002</v>
      </c>
      <c r="V86" t="s">
        <v>131</v>
      </c>
      <c r="W86" s="2">
        <f t="shared" si="5"/>
        <v>484.34565771180405</v>
      </c>
      <c r="X86">
        <v>4.8434565771180402</v>
      </c>
      <c r="Y86" t="s">
        <v>138</v>
      </c>
      <c r="Z86" t="s">
        <v>142</v>
      </c>
      <c r="AA86">
        <v>465.45700596368698</v>
      </c>
    </row>
    <row r="87" spans="1:27" x14ac:dyDescent="0.35">
      <c r="A87" t="s">
        <v>30</v>
      </c>
      <c r="B87" t="s">
        <v>109</v>
      </c>
      <c r="C87" s="1">
        <v>76.962994415193805</v>
      </c>
      <c r="D87" s="2">
        <v>83</v>
      </c>
      <c r="E87">
        <v>25</v>
      </c>
      <c r="F87" s="1">
        <f t="shared" si="3"/>
        <v>6760.5381988740046</v>
      </c>
      <c r="G87">
        <f t="shared" si="4"/>
        <v>1924.0748603798452</v>
      </c>
      <c r="H87" s="1">
        <v>8684.6130592538502</v>
      </c>
      <c r="I87" t="s">
        <v>129</v>
      </c>
      <c r="J87">
        <v>15</v>
      </c>
      <c r="K87">
        <v>18</v>
      </c>
      <c r="L87">
        <v>66</v>
      </c>
      <c r="M87">
        <v>2</v>
      </c>
      <c r="N87" t="s">
        <v>136</v>
      </c>
      <c r="O87" s="1">
        <v>8.2491687048717193</v>
      </c>
      <c r="P87" t="s">
        <v>148</v>
      </c>
      <c r="Q87" t="s">
        <v>152</v>
      </c>
      <c r="R87">
        <v>4</v>
      </c>
      <c r="S87">
        <v>211</v>
      </c>
      <c r="T87">
        <v>2</v>
      </c>
      <c r="U87">
        <v>69.929345518672307</v>
      </c>
      <c r="V87" t="s">
        <v>132</v>
      </c>
      <c r="W87" s="2">
        <f t="shared" si="5"/>
        <v>137.442899974575</v>
      </c>
      <c r="X87">
        <v>1.3744289997457499</v>
      </c>
      <c r="Y87" t="s">
        <v>137</v>
      </c>
      <c r="Z87" t="s">
        <v>142</v>
      </c>
      <c r="AA87">
        <v>842.68683000464102</v>
      </c>
    </row>
    <row r="88" spans="1:27" x14ac:dyDescent="0.35">
      <c r="A88" t="s">
        <v>23</v>
      </c>
      <c r="B88" t="s">
        <v>110</v>
      </c>
      <c r="C88" s="1">
        <v>19.9981769404042</v>
      </c>
      <c r="D88" s="2">
        <v>18</v>
      </c>
      <c r="E88">
        <v>223</v>
      </c>
      <c r="F88" s="1">
        <f t="shared" si="3"/>
        <v>-3230.0024291451564</v>
      </c>
      <c r="G88">
        <f t="shared" si="4"/>
        <v>4459.5934577101361</v>
      </c>
      <c r="H88" s="1">
        <v>1229.59102856498</v>
      </c>
      <c r="I88" t="s">
        <v>128</v>
      </c>
      <c r="J88">
        <v>32</v>
      </c>
      <c r="K88">
        <v>14</v>
      </c>
      <c r="L88">
        <v>22</v>
      </c>
      <c r="M88">
        <v>6</v>
      </c>
      <c r="N88" t="s">
        <v>135</v>
      </c>
      <c r="O88" s="1">
        <v>1.4543053101535499</v>
      </c>
      <c r="P88" t="s">
        <v>144</v>
      </c>
      <c r="Q88" t="s">
        <v>149</v>
      </c>
      <c r="R88">
        <v>4</v>
      </c>
      <c r="S88">
        <v>569</v>
      </c>
      <c r="T88">
        <v>18</v>
      </c>
      <c r="U88">
        <v>74.608969995194599</v>
      </c>
      <c r="V88" t="s">
        <v>131</v>
      </c>
      <c r="W88" s="2">
        <f t="shared" si="5"/>
        <v>205.15129307662397</v>
      </c>
      <c r="X88">
        <v>2.0515129307662399</v>
      </c>
      <c r="Y88" t="s">
        <v>139</v>
      </c>
      <c r="Z88" t="s">
        <v>141</v>
      </c>
      <c r="AA88">
        <v>264.25488983586598</v>
      </c>
    </row>
    <row r="89" spans="1:27" x14ac:dyDescent="0.35">
      <c r="A89" t="s">
        <v>21</v>
      </c>
      <c r="B89" t="s">
        <v>111</v>
      </c>
      <c r="C89" s="1">
        <v>80.414036650355698</v>
      </c>
      <c r="D89" s="2">
        <v>24</v>
      </c>
      <c r="E89">
        <v>79</v>
      </c>
      <c r="F89" s="1">
        <f t="shared" si="3"/>
        <v>-1218.8621942914106</v>
      </c>
      <c r="G89">
        <f t="shared" si="4"/>
        <v>6352.7088953781004</v>
      </c>
      <c r="H89" s="1">
        <v>5133.8467010866898</v>
      </c>
      <c r="I89" t="s">
        <v>130</v>
      </c>
      <c r="J89">
        <v>5</v>
      </c>
      <c r="K89">
        <v>7</v>
      </c>
      <c r="L89">
        <v>55</v>
      </c>
      <c r="M89">
        <v>10</v>
      </c>
      <c r="N89" t="s">
        <v>134</v>
      </c>
      <c r="O89" s="1">
        <v>6.5758037975485299</v>
      </c>
      <c r="P89" t="s">
        <v>146</v>
      </c>
      <c r="Q89" t="s">
        <v>152</v>
      </c>
      <c r="R89">
        <v>27</v>
      </c>
      <c r="S89">
        <v>523</v>
      </c>
      <c r="T89">
        <v>17</v>
      </c>
      <c r="U89">
        <v>28.696996824143099</v>
      </c>
      <c r="V89" t="s">
        <v>132</v>
      </c>
      <c r="W89" s="2">
        <f t="shared" si="5"/>
        <v>369.37377878392698</v>
      </c>
      <c r="X89">
        <v>3.6937377878392699</v>
      </c>
      <c r="Y89" t="s">
        <v>140</v>
      </c>
      <c r="Z89" t="s">
        <v>142</v>
      </c>
      <c r="AA89">
        <v>879.35921773492396</v>
      </c>
    </row>
    <row r="90" spans="1:27" x14ac:dyDescent="0.35">
      <c r="A90" t="s">
        <v>30</v>
      </c>
      <c r="B90" t="s">
        <v>112</v>
      </c>
      <c r="C90" s="1">
        <v>75.270406975724995</v>
      </c>
      <c r="D90" s="2">
        <v>58</v>
      </c>
      <c r="E90">
        <v>737</v>
      </c>
      <c r="F90" s="1">
        <f t="shared" si="3"/>
        <v>-46029.547908046341</v>
      </c>
      <c r="G90">
        <f t="shared" si="4"/>
        <v>55474.289941109324</v>
      </c>
      <c r="H90" s="1">
        <v>9444.7420330629793</v>
      </c>
      <c r="I90" t="s">
        <v>130</v>
      </c>
      <c r="J90">
        <v>60</v>
      </c>
      <c r="K90">
        <v>18</v>
      </c>
      <c r="L90">
        <v>85</v>
      </c>
      <c r="M90">
        <v>7</v>
      </c>
      <c r="N90" t="s">
        <v>134</v>
      </c>
      <c r="O90" s="1">
        <v>3.8012531329310701</v>
      </c>
      <c r="P90" t="s">
        <v>145</v>
      </c>
      <c r="Q90" t="s">
        <v>149</v>
      </c>
      <c r="R90">
        <v>21</v>
      </c>
      <c r="S90">
        <v>953</v>
      </c>
      <c r="T90">
        <v>11</v>
      </c>
      <c r="U90">
        <v>68.1849190570411</v>
      </c>
      <c r="V90" t="s">
        <v>133</v>
      </c>
      <c r="W90" s="2">
        <f t="shared" si="5"/>
        <v>72.220440188293097</v>
      </c>
      <c r="X90">
        <v>0.722204401882931</v>
      </c>
      <c r="Y90" t="s">
        <v>140</v>
      </c>
      <c r="Z90" t="s">
        <v>141</v>
      </c>
      <c r="AA90">
        <v>103.916247960704</v>
      </c>
    </row>
    <row r="91" spans="1:27" x14ac:dyDescent="0.35">
      <c r="A91" t="s">
        <v>30</v>
      </c>
      <c r="B91" t="s">
        <v>113</v>
      </c>
      <c r="C91" s="1">
        <v>97.760085581938597</v>
      </c>
      <c r="D91" s="2">
        <v>10</v>
      </c>
      <c r="E91">
        <v>134</v>
      </c>
      <c r="F91" s="1">
        <f t="shared" si="3"/>
        <v>-7175.1689011265416</v>
      </c>
      <c r="G91">
        <f t="shared" si="4"/>
        <v>13099.851467979772</v>
      </c>
      <c r="H91" s="1">
        <v>5924.6825668532301</v>
      </c>
      <c r="I91" t="s">
        <v>128</v>
      </c>
      <c r="J91">
        <v>90</v>
      </c>
      <c r="K91">
        <v>1</v>
      </c>
      <c r="L91">
        <v>27</v>
      </c>
      <c r="M91">
        <v>8</v>
      </c>
      <c r="N91" t="s">
        <v>135</v>
      </c>
      <c r="O91" s="1">
        <v>9.9298162452772498</v>
      </c>
      <c r="P91" t="s">
        <v>144</v>
      </c>
      <c r="Q91" t="s">
        <v>151</v>
      </c>
      <c r="R91">
        <v>23</v>
      </c>
      <c r="S91">
        <v>370</v>
      </c>
      <c r="T91">
        <v>11</v>
      </c>
      <c r="U91">
        <v>46.603873381644398</v>
      </c>
      <c r="V91" t="s">
        <v>133</v>
      </c>
      <c r="W91" s="2">
        <f t="shared" si="5"/>
        <v>190.76657339590699</v>
      </c>
      <c r="X91">
        <v>1.9076657339590699</v>
      </c>
      <c r="Y91" t="s">
        <v>139</v>
      </c>
      <c r="Z91" t="s">
        <v>142</v>
      </c>
      <c r="AA91">
        <v>517.49997392906005</v>
      </c>
    </row>
    <row r="92" spans="1:27" x14ac:dyDescent="0.35">
      <c r="A92" t="s">
        <v>23</v>
      </c>
      <c r="B92" t="s">
        <v>114</v>
      </c>
      <c r="C92" s="1">
        <v>13.881913501359101</v>
      </c>
      <c r="D92" s="2">
        <v>56</v>
      </c>
      <c r="E92">
        <v>320</v>
      </c>
      <c r="F92" s="1">
        <f t="shared" si="3"/>
        <v>5150.4212498453981</v>
      </c>
      <c r="G92">
        <f t="shared" si="4"/>
        <v>4442.2123204349118</v>
      </c>
      <c r="H92" s="1">
        <v>9592.6335702803099</v>
      </c>
      <c r="I92" t="s">
        <v>127</v>
      </c>
      <c r="J92">
        <v>66</v>
      </c>
      <c r="K92">
        <v>18</v>
      </c>
      <c r="L92">
        <v>96</v>
      </c>
      <c r="M92">
        <v>7</v>
      </c>
      <c r="N92" t="s">
        <v>135</v>
      </c>
      <c r="O92" s="1">
        <v>7.6744307081126903</v>
      </c>
      <c r="P92" t="s">
        <v>146</v>
      </c>
      <c r="Q92" t="s">
        <v>153</v>
      </c>
      <c r="R92">
        <v>8</v>
      </c>
      <c r="S92">
        <v>585</v>
      </c>
      <c r="T92">
        <v>8</v>
      </c>
      <c r="U92">
        <v>85.675963335797903</v>
      </c>
      <c r="V92" t="s">
        <v>131</v>
      </c>
      <c r="W92" s="2">
        <f t="shared" si="5"/>
        <v>121.93822244013801</v>
      </c>
      <c r="X92">
        <v>1.2193822244013801</v>
      </c>
      <c r="Y92" t="s">
        <v>139</v>
      </c>
      <c r="Z92" t="s">
        <v>142</v>
      </c>
      <c r="AA92">
        <v>990.07847250581096</v>
      </c>
    </row>
    <row r="93" spans="1:27" x14ac:dyDescent="0.35">
      <c r="A93" t="s">
        <v>30</v>
      </c>
      <c r="B93" t="s">
        <v>115</v>
      </c>
      <c r="C93" s="1">
        <v>62.111965463961702</v>
      </c>
      <c r="D93" s="2">
        <v>90</v>
      </c>
      <c r="E93">
        <v>916</v>
      </c>
      <c r="F93" s="1">
        <f t="shared" si="3"/>
        <v>-54959.353571481326</v>
      </c>
      <c r="G93">
        <f t="shared" si="4"/>
        <v>56894.560364988916</v>
      </c>
      <c r="H93" s="1">
        <v>1935.20679350759</v>
      </c>
      <c r="I93" t="s">
        <v>130</v>
      </c>
      <c r="J93">
        <v>98</v>
      </c>
      <c r="K93">
        <v>22</v>
      </c>
      <c r="L93">
        <v>85</v>
      </c>
      <c r="M93">
        <v>7</v>
      </c>
      <c r="N93" t="s">
        <v>135</v>
      </c>
      <c r="O93" s="1">
        <v>7.4715140844011403</v>
      </c>
      <c r="P93" t="s">
        <v>147</v>
      </c>
      <c r="Q93" t="s">
        <v>150</v>
      </c>
      <c r="R93">
        <v>5</v>
      </c>
      <c r="S93">
        <v>207</v>
      </c>
      <c r="T93">
        <v>28</v>
      </c>
      <c r="U93">
        <v>39.772882502339897</v>
      </c>
      <c r="V93" t="s">
        <v>133</v>
      </c>
      <c r="W93" s="2">
        <f t="shared" si="5"/>
        <v>62.600185820939402</v>
      </c>
      <c r="X93">
        <v>0.62600185820939402</v>
      </c>
      <c r="Y93" t="s">
        <v>139</v>
      </c>
      <c r="Z93" t="s">
        <v>142</v>
      </c>
      <c r="AA93">
        <v>996.77831495062298</v>
      </c>
    </row>
    <row r="94" spans="1:27" x14ac:dyDescent="0.35">
      <c r="A94" t="s">
        <v>30</v>
      </c>
      <c r="B94" t="s">
        <v>116</v>
      </c>
      <c r="C94" s="1">
        <v>47.714233075820196</v>
      </c>
      <c r="D94" s="2">
        <v>44</v>
      </c>
      <c r="E94">
        <v>276</v>
      </c>
      <c r="F94" s="1">
        <f t="shared" si="3"/>
        <v>-11068.998574300444</v>
      </c>
      <c r="G94">
        <f t="shared" si="4"/>
        <v>13169.128328926374</v>
      </c>
      <c r="H94" s="1">
        <v>2100.1297546259302</v>
      </c>
      <c r="I94" t="s">
        <v>130</v>
      </c>
      <c r="J94">
        <v>90</v>
      </c>
      <c r="K94">
        <v>25</v>
      </c>
      <c r="L94">
        <v>10</v>
      </c>
      <c r="M94">
        <v>8</v>
      </c>
      <c r="N94" t="s">
        <v>135</v>
      </c>
      <c r="O94" s="1">
        <v>4.4695000261236002</v>
      </c>
      <c r="P94" t="s">
        <v>145</v>
      </c>
      <c r="Q94" t="s">
        <v>149</v>
      </c>
      <c r="R94">
        <v>4</v>
      </c>
      <c r="S94">
        <v>671</v>
      </c>
      <c r="T94">
        <v>29</v>
      </c>
      <c r="U94">
        <v>62.612690395614301</v>
      </c>
      <c r="V94" t="s">
        <v>131</v>
      </c>
      <c r="W94" s="2">
        <f t="shared" si="5"/>
        <v>33.343182522473903</v>
      </c>
      <c r="X94">
        <v>0.33343182522473902</v>
      </c>
      <c r="Y94" t="s">
        <v>139</v>
      </c>
      <c r="Z94" t="s">
        <v>142</v>
      </c>
      <c r="AA94">
        <v>230.092782536762</v>
      </c>
    </row>
    <row r="95" spans="1:27" x14ac:dyDescent="0.35">
      <c r="A95" t="s">
        <v>21</v>
      </c>
      <c r="B95" t="s">
        <v>117</v>
      </c>
      <c r="C95" s="1">
        <v>69.290831002905406</v>
      </c>
      <c r="D95" s="2">
        <v>88</v>
      </c>
      <c r="E95">
        <v>114</v>
      </c>
      <c r="F95" s="1">
        <f t="shared" si="3"/>
        <v>-3367.7526006393155</v>
      </c>
      <c r="G95">
        <f t="shared" si="4"/>
        <v>7899.1547343312159</v>
      </c>
      <c r="H95" s="1">
        <v>4531.4021336919004</v>
      </c>
      <c r="I95" t="s">
        <v>128</v>
      </c>
      <c r="J95">
        <v>63</v>
      </c>
      <c r="K95">
        <v>17</v>
      </c>
      <c r="L95">
        <v>66</v>
      </c>
      <c r="M95">
        <v>1</v>
      </c>
      <c r="N95" t="s">
        <v>136</v>
      </c>
      <c r="O95" s="1">
        <v>7.00643205900439</v>
      </c>
      <c r="P95" t="s">
        <v>147</v>
      </c>
      <c r="Q95" t="s">
        <v>152</v>
      </c>
      <c r="R95">
        <v>21</v>
      </c>
      <c r="S95">
        <v>824</v>
      </c>
      <c r="T95">
        <v>20</v>
      </c>
      <c r="U95">
        <v>35.633652343343797</v>
      </c>
      <c r="V95" t="s">
        <v>132</v>
      </c>
      <c r="W95" s="2">
        <f t="shared" si="5"/>
        <v>416.57817954241398</v>
      </c>
      <c r="X95">
        <v>4.1657817954241398</v>
      </c>
      <c r="Y95" t="s">
        <v>138</v>
      </c>
      <c r="Z95" t="s">
        <v>141</v>
      </c>
      <c r="AA95">
        <v>823.52384588815505</v>
      </c>
    </row>
    <row r="96" spans="1:27" x14ac:dyDescent="0.35">
      <c r="A96" t="s">
        <v>30</v>
      </c>
      <c r="B96" t="s">
        <v>118</v>
      </c>
      <c r="C96" s="1">
        <v>3.0376887246314102</v>
      </c>
      <c r="D96" s="2">
        <v>97</v>
      </c>
      <c r="E96">
        <v>987</v>
      </c>
      <c r="F96" s="1">
        <f t="shared" si="3"/>
        <v>4890.1577754506689</v>
      </c>
      <c r="G96">
        <f t="shared" si="4"/>
        <v>2998.1987712112018</v>
      </c>
      <c r="H96" s="1">
        <v>7888.3565466618702</v>
      </c>
      <c r="I96" t="s">
        <v>128</v>
      </c>
      <c r="J96">
        <v>77</v>
      </c>
      <c r="K96">
        <v>26</v>
      </c>
      <c r="L96">
        <v>72</v>
      </c>
      <c r="M96">
        <v>9</v>
      </c>
      <c r="N96" t="s">
        <v>135</v>
      </c>
      <c r="O96" s="1">
        <v>6.9429459420325799</v>
      </c>
      <c r="P96" t="s">
        <v>145</v>
      </c>
      <c r="Q96" t="s">
        <v>150</v>
      </c>
      <c r="R96">
        <v>12</v>
      </c>
      <c r="S96">
        <v>908</v>
      </c>
      <c r="T96">
        <v>14</v>
      </c>
      <c r="U96">
        <v>60.387378614862101</v>
      </c>
      <c r="V96" t="s">
        <v>131</v>
      </c>
      <c r="W96" s="2">
        <f t="shared" si="5"/>
        <v>146.36074984727699</v>
      </c>
      <c r="X96">
        <v>1.4636074984727701</v>
      </c>
      <c r="Y96" t="s">
        <v>139</v>
      </c>
      <c r="Z96" t="s">
        <v>142</v>
      </c>
      <c r="AA96">
        <v>846.66525698669398</v>
      </c>
    </row>
    <row r="97" spans="1:27" x14ac:dyDescent="0.35">
      <c r="A97" t="s">
        <v>21</v>
      </c>
      <c r="B97" t="s">
        <v>119</v>
      </c>
      <c r="C97" s="1">
        <v>77.903927219447695</v>
      </c>
      <c r="D97" s="2">
        <v>65</v>
      </c>
      <c r="E97">
        <v>672</v>
      </c>
      <c r="F97" s="1">
        <f t="shared" si="3"/>
        <v>-44965.07514742019</v>
      </c>
      <c r="G97">
        <f t="shared" si="4"/>
        <v>52351.439091468848</v>
      </c>
      <c r="H97" s="1">
        <v>7386.3639440486604</v>
      </c>
      <c r="I97" t="s">
        <v>128</v>
      </c>
      <c r="J97">
        <v>15</v>
      </c>
      <c r="K97">
        <v>14</v>
      </c>
      <c r="L97">
        <v>26</v>
      </c>
      <c r="M97">
        <v>9</v>
      </c>
      <c r="N97" t="s">
        <v>135</v>
      </c>
      <c r="O97" s="1">
        <v>8.6303388696027508</v>
      </c>
      <c r="P97" t="s">
        <v>147</v>
      </c>
      <c r="Q97" t="s">
        <v>149</v>
      </c>
      <c r="R97">
        <v>18</v>
      </c>
      <c r="S97">
        <v>450</v>
      </c>
      <c r="T97">
        <v>26</v>
      </c>
      <c r="U97">
        <v>58.890685768589897</v>
      </c>
      <c r="V97" t="s">
        <v>133</v>
      </c>
      <c r="W97" s="2">
        <f t="shared" si="5"/>
        <v>121.08821295850601</v>
      </c>
      <c r="X97">
        <v>1.21088212958506</v>
      </c>
      <c r="Y97" t="s">
        <v>138</v>
      </c>
      <c r="Z97" t="s">
        <v>141</v>
      </c>
      <c r="AA97">
        <v>778.86424137664699</v>
      </c>
    </row>
    <row r="98" spans="1:27" x14ac:dyDescent="0.35">
      <c r="A98" t="s">
        <v>30</v>
      </c>
      <c r="B98" t="s">
        <v>120</v>
      </c>
      <c r="C98" s="1">
        <v>24.423131420373299</v>
      </c>
      <c r="D98" s="2">
        <v>29</v>
      </c>
      <c r="E98">
        <v>324</v>
      </c>
      <c r="F98" s="1">
        <f t="shared" si="3"/>
        <v>-214.66981456883877</v>
      </c>
      <c r="G98">
        <f t="shared" si="4"/>
        <v>7913.0945802009492</v>
      </c>
      <c r="H98" s="1">
        <v>7698.4247656321104</v>
      </c>
      <c r="I98" t="s">
        <v>127</v>
      </c>
      <c r="J98">
        <v>67</v>
      </c>
      <c r="K98">
        <v>2</v>
      </c>
      <c r="L98">
        <v>32</v>
      </c>
      <c r="M98">
        <v>3</v>
      </c>
      <c r="N98" t="s">
        <v>136</v>
      </c>
      <c r="O98" s="1">
        <v>5.3528780439967996</v>
      </c>
      <c r="P98" t="s">
        <v>146</v>
      </c>
      <c r="Q98" t="s">
        <v>149</v>
      </c>
      <c r="R98">
        <v>28</v>
      </c>
      <c r="S98">
        <v>648</v>
      </c>
      <c r="T98">
        <v>28</v>
      </c>
      <c r="U98">
        <v>17.803756331391199</v>
      </c>
      <c r="V98" t="s">
        <v>133</v>
      </c>
      <c r="W98" s="2">
        <f t="shared" si="5"/>
        <v>387.20476814821302</v>
      </c>
      <c r="X98">
        <v>3.8720476814821301</v>
      </c>
      <c r="Y98" t="s">
        <v>137</v>
      </c>
      <c r="Z98" t="s">
        <v>141</v>
      </c>
      <c r="AA98">
        <v>188.74214114905601</v>
      </c>
    </row>
    <row r="99" spans="1:27" x14ac:dyDescent="0.35">
      <c r="A99" t="s">
        <v>21</v>
      </c>
      <c r="B99" t="s">
        <v>121</v>
      </c>
      <c r="C99" s="1">
        <v>3.5261112591434101</v>
      </c>
      <c r="D99" s="2">
        <v>56</v>
      </c>
      <c r="E99">
        <v>62</v>
      </c>
      <c r="F99" s="1">
        <f t="shared" si="3"/>
        <v>4152.2976819176383</v>
      </c>
      <c r="G99">
        <f t="shared" si="4"/>
        <v>218.61889806689143</v>
      </c>
      <c r="H99" s="1">
        <v>4370.9165799845296</v>
      </c>
      <c r="I99" t="s">
        <v>130</v>
      </c>
      <c r="J99">
        <v>46</v>
      </c>
      <c r="K99">
        <v>19</v>
      </c>
      <c r="L99">
        <v>4</v>
      </c>
      <c r="M99">
        <v>9</v>
      </c>
      <c r="N99" t="s">
        <v>134</v>
      </c>
      <c r="O99" s="1">
        <v>7.9048456112096703</v>
      </c>
      <c r="P99" t="s">
        <v>147</v>
      </c>
      <c r="Q99" t="s">
        <v>149</v>
      </c>
      <c r="R99">
        <v>10</v>
      </c>
      <c r="S99">
        <v>535</v>
      </c>
      <c r="T99">
        <v>13</v>
      </c>
      <c r="U99">
        <v>65.765155926367399</v>
      </c>
      <c r="V99" t="s">
        <v>132</v>
      </c>
      <c r="W99" s="2">
        <f t="shared" si="5"/>
        <v>337.62378347179799</v>
      </c>
      <c r="X99">
        <v>3.3762378347179798</v>
      </c>
      <c r="Y99" t="s">
        <v>137</v>
      </c>
      <c r="Z99" t="s">
        <v>141</v>
      </c>
      <c r="AA99">
        <v>540.13242286796697</v>
      </c>
    </row>
    <row r="100" spans="1:27" x14ac:dyDescent="0.35">
      <c r="A100" t="s">
        <v>23</v>
      </c>
      <c r="B100" t="s">
        <v>122</v>
      </c>
      <c r="C100" s="1">
        <v>19.754604866878601</v>
      </c>
      <c r="D100" s="2">
        <v>43</v>
      </c>
      <c r="E100">
        <v>913</v>
      </c>
      <c r="F100" s="1">
        <f t="shared" si="3"/>
        <v>-9510.0016837766452</v>
      </c>
      <c r="G100">
        <f t="shared" si="4"/>
        <v>18035.954243460164</v>
      </c>
      <c r="H100" s="1">
        <v>8525.9525596835192</v>
      </c>
      <c r="I100" t="s">
        <v>129</v>
      </c>
      <c r="J100">
        <v>53</v>
      </c>
      <c r="K100">
        <v>1</v>
      </c>
      <c r="L100">
        <v>27</v>
      </c>
      <c r="M100">
        <v>7</v>
      </c>
      <c r="N100" t="s">
        <v>135</v>
      </c>
      <c r="O100" s="1">
        <v>1.4098010951380699</v>
      </c>
      <c r="P100" t="s">
        <v>148</v>
      </c>
      <c r="Q100" t="s">
        <v>152</v>
      </c>
      <c r="R100">
        <v>28</v>
      </c>
      <c r="S100">
        <v>581</v>
      </c>
      <c r="T100">
        <v>9</v>
      </c>
      <c r="U100">
        <v>5.6046908643717801</v>
      </c>
      <c r="V100" t="s">
        <v>133</v>
      </c>
      <c r="W100" s="2">
        <f t="shared" si="5"/>
        <v>290.812216935126</v>
      </c>
      <c r="X100">
        <v>2.9081221693512598</v>
      </c>
      <c r="Y100" t="s">
        <v>139</v>
      </c>
      <c r="Z100" t="s">
        <v>141</v>
      </c>
      <c r="AA100">
        <v>882.19886354704101</v>
      </c>
    </row>
    <row r="101" spans="1:27" x14ac:dyDescent="0.35">
      <c r="A101" t="s">
        <v>21</v>
      </c>
      <c r="B101" t="s">
        <v>123</v>
      </c>
      <c r="C101" s="1">
        <v>68.517832699276596</v>
      </c>
      <c r="D101" s="2">
        <v>17</v>
      </c>
      <c r="E101">
        <v>627</v>
      </c>
      <c r="F101" s="1">
        <f t="shared" si="3"/>
        <v>-33775.495273264722</v>
      </c>
      <c r="G101">
        <f t="shared" si="4"/>
        <v>42960.681102446426</v>
      </c>
      <c r="H101" s="1">
        <v>9185.1858291817007</v>
      </c>
      <c r="I101" t="s">
        <v>128</v>
      </c>
      <c r="J101">
        <v>55</v>
      </c>
      <c r="K101">
        <v>8</v>
      </c>
      <c r="L101">
        <v>59</v>
      </c>
      <c r="M101">
        <v>6</v>
      </c>
      <c r="N101" t="s">
        <v>135</v>
      </c>
      <c r="O101" s="1">
        <v>1.3110237561206199</v>
      </c>
      <c r="P101" t="s">
        <v>145</v>
      </c>
      <c r="Q101" t="s">
        <v>152</v>
      </c>
      <c r="R101">
        <v>29</v>
      </c>
      <c r="S101">
        <v>921</v>
      </c>
      <c r="T101">
        <v>2</v>
      </c>
      <c r="U101">
        <v>38.072898520625998</v>
      </c>
      <c r="V101" t="s">
        <v>132</v>
      </c>
      <c r="W101" s="2">
        <f t="shared" si="5"/>
        <v>34.602729070550296</v>
      </c>
      <c r="X101">
        <v>0.34602729070550298</v>
      </c>
      <c r="Y101" t="s">
        <v>139</v>
      </c>
      <c r="Z101" t="s">
        <v>142</v>
      </c>
      <c r="AA101">
        <v>210.743008964246</v>
      </c>
    </row>
  </sheetData>
  <autoFilter ref="I1:I101" xr:uid="{32AC177A-88A7-4A1E-8B90-A484BB68663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3715-8BCE-4CCC-849E-9A3F1C1B1AF6}">
  <dimension ref="A2:L29"/>
  <sheetViews>
    <sheetView topLeftCell="A15" zoomScale="70" zoomScaleNormal="70" workbookViewId="0">
      <selection activeCell="AD14" sqref="AD14"/>
    </sheetView>
  </sheetViews>
  <sheetFormatPr defaultRowHeight="14.5" x14ac:dyDescent="0.35"/>
  <cols>
    <col min="1" max="1" width="13.08984375" bestFit="1" customWidth="1"/>
    <col min="2" max="2" width="22.26953125" bestFit="1" customWidth="1"/>
    <col min="3" max="3" width="14.36328125" bestFit="1" customWidth="1"/>
    <col min="4" max="4" width="13.08984375" bestFit="1" customWidth="1"/>
    <col min="5" max="5" width="23.54296875" bestFit="1" customWidth="1"/>
    <col min="6" max="6" width="28.26953125" bestFit="1" customWidth="1"/>
    <col min="7" max="8" width="7.81640625" bestFit="1" customWidth="1"/>
    <col min="9" max="9" width="10.7265625" bestFit="1" customWidth="1"/>
    <col min="11" max="11" width="13.08984375" bestFit="1" customWidth="1"/>
    <col min="12" max="12" width="26.81640625" bestFit="1" customWidth="1"/>
  </cols>
  <sheetData>
    <row r="2" spans="1:12" ht="15.5" x14ac:dyDescent="0.35">
      <c r="A2" s="6" t="s">
        <v>160</v>
      </c>
      <c r="E2" s="6" t="s">
        <v>163</v>
      </c>
      <c r="K2" s="6" t="s">
        <v>167</v>
      </c>
    </row>
    <row r="3" spans="1:12" x14ac:dyDescent="0.35">
      <c r="A3" s="4" t="s">
        <v>157</v>
      </c>
      <c r="B3" t="s">
        <v>159</v>
      </c>
      <c r="C3" t="s">
        <v>161</v>
      </c>
      <c r="E3" s="4" t="s">
        <v>157</v>
      </c>
      <c r="F3" t="s">
        <v>162</v>
      </c>
      <c r="K3" s="4" t="s">
        <v>157</v>
      </c>
      <c r="L3" t="s">
        <v>166</v>
      </c>
    </row>
    <row r="4" spans="1:12" x14ac:dyDescent="0.35">
      <c r="A4" s="5" t="s">
        <v>30</v>
      </c>
      <c r="B4" s="7">
        <v>8180.3370854254399</v>
      </c>
      <c r="C4" s="1">
        <v>6.3815331627479601</v>
      </c>
      <c r="E4" s="5" t="s">
        <v>30</v>
      </c>
      <c r="F4" s="8">
        <v>0.74677608440797183</v>
      </c>
      <c r="K4" s="5" t="s">
        <v>75</v>
      </c>
      <c r="L4" s="9">
        <v>100</v>
      </c>
    </row>
    <row r="5" spans="1:12" x14ac:dyDescent="0.35">
      <c r="A5" s="5" t="s">
        <v>21</v>
      </c>
      <c r="B5" s="7">
        <v>14237.38203796422</v>
      </c>
      <c r="C5" s="1">
        <v>15.113436115802555</v>
      </c>
      <c r="E5" s="5" t="s">
        <v>21</v>
      </c>
      <c r="F5" s="8">
        <v>0.25322391559202811</v>
      </c>
      <c r="K5" s="5" t="s">
        <v>95</v>
      </c>
      <c r="L5" s="9">
        <v>76</v>
      </c>
    </row>
    <row r="6" spans="1:12" x14ac:dyDescent="0.35">
      <c r="A6" s="5" t="s">
        <v>158</v>
      </c>
      <c r="B6" s="7">
        <v>22417.719123389659</v>
      </c>
      <c r="C6" s="1">
        <v>12.20280179811769</v>
      </c>
      <c r="E6" s="5" t="s">
        <v>158</v>
      </c>
      <c r="F6" s="8">
        <v>1</v>
      </c>
      <c r="K6" s="5" t="s">
        <v>121</v>
      </c>
      <c r="L6" s="9">
        <v>46</v>
      </c>
    </row>
    <row r="7" spans="1:12" x14ac:dyDescent="0.35">
      <c r="K7" s="5" t="s">
        <v>158</v>
      </c>
      <c r="L7" s="9">
        <v>74</v>
      </c>
    </row>
    <row r="9" spans="1:12" ht="15.5" x14ac:dyDescent="0.35">
      <c r="A9" s="6" t="s">
        <v>164</v>
      </c>
      <c r="D9" s="6" t="s">
        <v>165</v>
      </c>
    </row>
    <row r="10" spans="1:12" x14ac:dyDescent="0.35">
      <c r="A10" s="4" t="s">
        <v>157</v>
      </c>
      <c r="B10" t="s">
        <v>159</v>
      </c>
      <c r="D10" s="4" t="s">
        <v>157</v>
      </c>
      <c r="E10" t="s">
        <v>159</v>
      </c>
    </row>
    <row r="11" spans="1:12" x14ac:dyDescent="0.35">
      <c r="A11" s="5" t="s">
        <v>134</v>
      </c>
      <c r="B11" s="7">
        <v>22417.719123389659</v>
      </c>
      <c r="D11" s="5" t="s">
        <v>75</v>
      </c>
      <c r="E11" s="7">
        <v>9866.4654579796897</v>
      </c>
    </row>
    <row r="12" spans="1:12" x14ac:dyDescent="0.35">
      <c r="A12" s="5" t="s">
        <v>158</v>
      </c>
      <c r="B12" s="7">
        <v>22417.719123389659</v>
      </c>
      <c r="D12" s="5" t="s">
        <v>95</v>
      </c>
      <c r="E12" s="7">
        <v>8180.3370854254399</v>
      </c>
    </row>
    <row r="13" spans="1:12" x14ac:dyDescent="0.35">
      <c r="D13" s="5" t="s">
        <v>121</v>
      </c>
      <c r="E13" s="7">
        <v>4370.9165799845296</v>
      </c>
    </row>
    <row r="14" spans="1:12" x14ac:dyDescent="0.35">
      <c r="D14" s="5" t="s">
        <v>158</v>
      </c>
      <c r="E14" s="7">
        <v>22417.719123389659</v>
      </c>
    </row>
    <row r="16" spans="1:12" ht="15.5" x14ac:dyDescent="0.35">
      <c r="A16" s="6" t="s">
        <v>169</v>
      </c>
    </row>
    <row r="17" spans="1:12" x14ac:dyDescent="0.35">
      <c r="A17" s="4" t="s">
        <v>157</v>
      </c>
      <c r="B17" t="s">
        <v>168</v>
      </c>
    </row>
    <row r="18" spans="1:12" ht="15.5" x14ac:dyDescent="0.35">
      <c r="A18" s="5" t="s">
        <v>134</v>
      </c>
      <c r="B18" s="7">
        <v>7.3053454954032802</v>
      </c>
      <c r="K18" s="6" t="s">
        <v>171</v>
      </c>
    </row>
    <row r="19" spans="1:12" x14ac:dyDescent="0.35">
      <c r="A19" s="5" t="s">
        <v>158</v>
      </c>
      <c r="B19" s="7">
        <v>7.3053454954032802</v>
      </c>
      <c r="K19" s="4" t="s">
        <v>157</v>
      </c>
      <c r="L19" t="s">
        <v>170</v>
      </c>
    </row>
    <row r="20" spans="1:12" x14ac:dyDescent="0.35">
      <c r="K20" s="5" t="s">
        <v>137</v>
      </c>
      <c r="L20" s="7">
        <v>546.7606027787557</v>
      </c>
    </row>
    <row r="21" spans="1:12" x14ac:dyDescent="0.35">
      <c r="K21" s="5" t="s">
        <v>158</v>
      </c>
      <c r="L21" s="7">
        <v>546.7606027787557</v>
      </c>
    </row>
    <row r="24" spans="1:12" ht="15.5" x14ac:dyDescent="0.35">
      <c r="D24" s="6" t="s">
        <v>174</v>
      </c>
    </row>
    <row r="25" spans="1:12" x14ac:dyDescent="0.35">
      <c r="D25" s="4" t="s">
        <v>173</v>
      </c>
      <c r="E25" s="4" t="s">
        <v>172</v>
      </c>
    </row>
    <row r="26" spans="1:12" x14ac:dyDescent="0.35">
      <c r="D26" s="4" t="s">
        <v>157</v>
      </c>
      <c r="E26" t="s">
        <v>137</v>
      </c>
      <c r="F26" t="s">
        <v>158</v>
      </c>
    </row>
    <row r="27" spans="1:12" x14ac:dyDescent="0.35">
      <c r="D27" s="5" t="s">
        <v>30</v>
      </c>
      <c r="E27" s="3">
        <v>2.07875060787496</v>
      </c>
      <c r="F27" s="3">
        <v>2.07875060787496</v>
      </c>
    </row>
    <row r="28" spans="1:12" x14ac:dyDescent="0.35">
      <c r="D28" s="5" t="s">
        <v>21</v>
      </c>
      <c r="E28" s="3">
        <v>2.5745945034007649</v>
      </c>
      <c r="F28" s="3">
        <v>2.5745945034007649</v>
      </c>
    </row>
    <row r="29" spans="1:12" x14ac:dyDescent="0.35">
      <c r="D29" s="5" t="s">
        <v>158</v>
      </c>
      <c r="E29" s="3">
        <v>2.4093132048921633</v>
      </c>
      <c r="F29" s="3">
        <v>2.4093132048921633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B504-ADFA-4AD7-9059-809F51C91E52}">
  <dimension ref="A1:AD46"/>
  <sheetViews>
    <sheetView showGridLines="0" tabSelected="1" zoomScale="40" zoomScaleNormal="40" workbookViewId="0">
      <pane ySplit="1" topLeftCell="A2" activePane="bottomLeft" state="frozen"/>
      <selection pane="bottomLeft" activeCell="AD14" sqref="AD14"/>
    </sheetView>
  </sheetViews>
  <sheetFormatPr defaultColWidth="0" defaultRowHeight="14.5" zeroHeight="1" x14ac:dyDescent="0.35"/>
  <cols>
    <col min="1" max="30" width="8.7265625" style="10" customWidth="1"/>
    <col min="31" max="16384" width="8.7265625" style="10" hidden="1"/>
  </cols>
  <sheetData>
    <row r="1" spans="2:6" ht="45.5" x14ac:dyDescent="0.95">
      <c r="F1" s="13" t="s">
        <v>175</v>
      </c>
    </row>
    <row r="2" spans="2:6" ht="18.5" x14ac:dyDescent="0.45">
      <c r="B2" s="11"/>
    </row>
    <row r="3" spans="2:6" x14ac:dyDescent="0.35"/>
    <row r="4" spans="2:6" x14ac:dyDescent="0.35"/>
    <row r="5" spans="2:6" x14ac:dyDescent="0.35"/>
    <row r="6" spans="2:6" x14ac:dyDescent="0.35"/>
    <row r="7" spans="2:6" x14ac:dyDescent="0.35"/>
    <row r="8" spans="2:6" x14ac:dyDescent="0.35"/>
    <row r="9" spans="2:6" x14ac:dyDescent="0.35"/>
    <row r="10" spans="2:6" x14ac:dyDescent="0.35"/>
    <row r="11" spans="2:6" x14ac:dyDescent="0.35"/>
    <row r="12" spans="2:6" x14ac:dyDescent="0.35"/>
    <row r="13" spans="2:6" x14ac:dyDescent="0.35"/>
    <row r="14" spans="2:6" x14ac:dyDescent="0.35"/>
    <row r="15" spans="2:6" x14ac:dyDescent="0.35"/>
    <row r="16" spans="2:6" x14ac:dyDescent="0.35"/>
    <row r="17" spans="13:13" x14ac:dyDescent="0.35"/>
    <row r="18" spans="13:13" x14ac:dyDescent="0.35"/>
    <row r="19" spans="13:13" x14ac:dyDescent="0.35"/>
    <row r="20" spans="13:13" x14ac:dyDescent="0.35"/>
    <row r="21" spans="13:13" x14ac:dyDescent="0.35"/>
    <row r="22" spans="13:13" x14ac:dyDescent="0.35"/>
    <row r="23" spans="13:13" x14ac:dyDescent="0.35"/>
    <row r="24" spans="13:13" x14ac:dyDescent="0.35">
      <c r="M24" s="12"/>
    </row>
    <row r="25" spans="13:13" x14ac:dyDescent="0.35"/>
    <row r="26" spans="13:13" x14ac:dyDescent="0.35"/>
    <row r="27" spans="13:13" x14ac:dyDescent="0.35"/>
    <row r="28" spans="13:13" x14ac:dyDescent="0.35"/>
    <row r="29" spans="13:13" x14ac:dyDescent="0.35"/>
    <row r="30" spans="13:13" x14ac:dyDescent="0.35"/>
    <row r="31" spans="13:13" x14ac:dyDescent="0.35"/>
    <row r="32" spans="13:13"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row r="44" x14ac:dyDescent="0.35"/>
    <row r="45" x14ac:dyDescent="0.35"/>
    <row r="46"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supply_chain_data</vt:lpstr>
      <vt:lpstr>- Sales &amp; Logistics Overview</vt:lpstr>
      <vt:lpstr>Sales and logistics 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fashola</cp:lastModifiedBy>
  <dcterms:created xsi:type="dcterms:W3CDTF">2026-01-02T12:02:10Z</dcterms:created>
  <dcterms:modified xsi:type="dcterms:W3CDTF">2026-01-04T12:04:32Z</dcterms:modified>
</cp:coreProperties>
</file>